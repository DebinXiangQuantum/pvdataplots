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光伏情景模拟结果- 0509\"/>
    </mc:Choice>
  </mc:AlternateContent>
  <xr:revisionPtr revIDLastSave="0" documentId="13_ncr:1_{508AD2FD-F7DA-41ED-8BB8-6A6D4CE908E4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情景名称" sheetId="4" r:id="rId1"/>
    <sheet name="全球" sheetId="2" r:id="rId2"/>
    <sheet name="集中式" sheetId="3" r:id="rId3"/>
    <sheet name="分布式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2" i="2"/>
  <c r="D32" i="2"/>
  <c r="D33" i="2"/>
  <c r="D34" i="2"/>
  <c r="D35" i="2"/>
  <c r="D36" i="2"/>
  <c r="D37" i="2"/>
  <c r="D38" i="2"/>
  <c r="D39" i="2"/>
  <c r="D31" i="2"/>
  <c r="C39" i="2"/>
  <c r="C38" i="2"/>
  <c r="C37" i="2"/>
  <c r="C36" i="2"/>
  <c r="C35" i="2"/>
  <c r="C34" i="2"/>
  <c r="C33" i="2"/>
  <c r="C32" i="2"/>
  <c r="C31" i="2"/>
  <c r="B32" i="2"/>
  <c r="B33" i="2"/>
  <c r="B34" i="2"/>
  <c r="B35" i="2"/>
  <c r="B36" i="2"/>
  <c r="B37" i="2"/>
  <c r="B38" i="2"/>
  <c r="B39" i="2"/>
  <c r="B31" i="2"/>
  <c r="I22" i="2"/>
  <c r="I21" i="2"/>
  <c r="I20" i="2"/>
  <c r="I19" i="2"/>
  <c r="I18" i="2"/>
  <c r="I17" i="2"/>
  <c r="K17" i="2" s="1"/>
  <c r="I16" i="2"/>
  <c r="K16" i="2" s="1"/>
  <c r="I15" i="2"/>
  <c r="K15" i="2" s="1"/>
  <c r="I14" i="2"/>
  <c r="E22" i="2"/>
  <c r="E21" i="2"/>
  <c r="E20" i="2"/>
  <c r="E19" i="2"/>
  <c r="E18" i="2"/>
  <c r="E17" i="2"/>
  <c r="E16" i="2"/>
  <c r="E15" i="2"/>
  <c r="E14" i="2"/>
  <c r="I3" i="2"/>
  <c r="I4" i="2"/>
  <c r="I5" i="2"/>
  <c r="I6" i="2"/>
  <c r="I7" i="2"/>
  <c r="I8" i="2"/>
  <c r="I9" i="2"/>
  <c r="I10" i="2"/>
  <c r="E3" i="2"/>
  <c r="E4" i="2"/>
  <c r="E5" i="2"/>
  <c r="E6" i="2"/>
  <c r="K6" i="2" s="1"/>
  <c r="E7" i="2"/>
  <c r="E8" i="2"/>
  <c r="E9" i="2"/>
  <c r="E10" i="2"/>
  <c r="I2" i="2"/>
  <c r="E2" i="2"/>
  <c r="K2" i="2" l="1"/>
  <c r="K14" i="2"/>
  <c r="K5" i="2"/>
  <c r="K4" i="2"/>
  <c r="K21" i="2"/>
  <c r="K22" i="2"/>
  <c r="K18" i="2"/>
  <c r="K19" i="2"/>
  <c r="K20" i="2"/>
  <c r="K3" i="2"/>
  <c r="K9" i="2"/>
  <c r="K8" i="2"/>
  <c r="K7" i="2"/>
  <c r="K10" i="2"/>
  <c r="C24" i="2" l="1"/>
  <c r="J3" i="2" l="1"/>
  <c r="F14" i="2"/>
  <c r="J14" i="2"/>
  <c r="F2" i="2"/>
  <c r="J2" i="2"/>
  <c r="J15" i="2"/>
  <c r="F3" i="2"/>
  <c r="F16" i="2"/>
  <c r="J16" i="2"/>
  <c r="F4" i="2"/>
  <c r="F17" i="2"/>
  <c r="J4" i="2"/>
  <c r="F33" i="2" s="1"/>
  <c r="J17" i="2"/>
  <c r="F5" i="2"/>
  <c r="F18" i="2"/>
  <c r="J5" i="2"/>
  <c r="J18" i="2"/>
  <c r="F6" i="2"/>
  <c r="F19" i="2"/>
  <c r="J6" i="2"/>
  <c r="F35" i="2" s="1"/>
  <c r="J19" i="2"/>
  <c r="F7" i="2"/>
  <c r="J7" i="2"/>
  <c r="F36" i="2" s="1"/>
  <c r="F8" i="2"/>
  <c r="J8" i="2"/>
  <c r="F9" i="2"/>
  <c r="F20" i="2"/>
  <c r="J9" i="2"/>
  <c r="J20" i="2"/>
  <c r="F15" i="2"/>
  <c r="F10" i="2"/>
  <c r="F21" i="2"/>
  <c r="J10" i="2"/>
  <c r="J21" i="2"/>
  <c r="F22" i="2"/>
  <c r="J22" i="2"/>
  <c r="F39" i="2" s="1"/>
  <c r="L15" i="2" l="1"/>
  <c r="L9" i="2"/>
  <c r="L21" i="2"/>
  <c r="L3" i="2"/>
  <c r="L17" i="2"/>
  <c r="L10" i="2"/>
  <c r="L22" i="2"/>
  <c r="E33" i="2"/>
  <c r="G33" i="2" s="1"/>
  <c r="L4" i="2"/>
  <c r="L16" i="2"/>
  <c r="F31" i="2"/>
  <c r="L2" i="2"/>
  <c r="L20" i="2"/>
  <c r="L14" i="2"/>
  <c r="L8" i="2"/>
  <c r="E36" i="2"/>
  <c r="G36" i="2" s="1"/>
  <c r="L7" i="2"/>
  <c r="L19" i="2"/>
  <c r="E35" i="2"/>
  <c r="G35" i="2" s="1"/>
  <c r="L6" i="2"/>
  <c r="F34" i="2"/>
  <c r="L18" i="2"/>
  <c r="E34" i="2"/>
  <c r="L5" i="2"/>
  <c r="E39" i="2"/>
  <c r="G39" i="2" s="1"/>
  <c r="E31" i="2"/>
  <c r="F38" i="2"/>
  <c r="E32" i="2"/>
  <c r="E38" i="2"/>
  <c r="G38" i="2" s="1"/>
  <c r="F37" i="2"/>
  <c r="E37" i="2"/>
  <c r="G37" i="2" s="1"/>
  <c r="F32" i="2"/>
  <c r="G34" i="2" l="1"/>
  <c r="G31" i="2"/>
  <c r="G32" i="2"/>
</calcChain>
</file>

<file path=xl/sharedStrings.xml><?xml version="1.0" encoding="utf-8"?>
<sst xmlns="http://schemas.openxmlformats.org/spreadsheetml/2006/main" count="527" uniqueCount="254">
  <si>
    <t>情景1 50</t>
    <phoneticPr fontId="1" type="noConversion"/>
  </si>
  <si>
    <t>预测发电量(MWh)</t>
  </si>
  <si>
    <t>真实装机面积</t>
  </si>
  <si>
    <t>预测装机面积</t>
  </si>
  <si>
    <t>真实发电量(MWh)</t>
  </si>
  <si>
    <t>情景2 50</t>
    <phoneticPr fontId="1" type="noConversion"/>
  </si>
  <si>
    <t>情景3 50</t>
    <phoneticPr fontId="1" type="noConversion"/>
  </si>
  <si>
    <t>情景4 50</t>
    <phoneticPr fontId="1" type="noConversion"/>
  </si>
  <si>
    <t>情景7 50</t>
    <phoneticPr fontId="1" type="noConversion"/>
  </si>
  <si>
    <t>情景9 50</t>
    <phoneticPr fontId="1" type="noConversion"/>
  </si>
  <si>
    <t>情景11 50</t>
    <phoneticPr fontId="1" type="noConversion"/>
  </si>
  <si>
    <t>集中式</t>
    <phoneticPr fontId="1" type="noConversion"/>
  </si>
  <si>
    <t>分布式</t>
    <phoneticPr fontId="1" type="noConversion"/>
  </si>
  <si>
    <t>GW</t>
    <phoneticPr fontId="1" type="noConversion"/>
  </si>
  <si>
    <t>预测装机容量GW</t>
    <phoneticPr fontId="1" type="noConversion"/>
  </si>
  <si>
    <t>真实装机容量GW</t>
    <phoneticPr fontId="1" type="noConversion"/>
  </si>
  <si>
    <t>倍数</t>
    <phoneticPr fontId="1" type="noConversion"/>
  </si>
  <si>
    <r>
      <t>CHN</t>
    </r>
    <r>
      <rPr>
        <b/>
        <sz val="11"/>
        <color rgb="FFFF0000"/>
        <rFont val="微软雅黑"/>
        <family val="1"/>
        <charset val="134"/>
      </rPr>
      <t>-</t>
    </r>
    <r>
      <rPr>
        <b/>
        <sz val="11"/>
        <color rgb="FFFF0000"/>
        <rFont val="微软雅黑"/>
        <family val="2"/>
        <charset val="134"/>
      </rPr>
      <t>Global</t>
    </r>
    <phoneticPr fontId="1" type="noConversion"/>
  </si>
  <si>
    <r>
      <t>USA</t>
    </r>
    <r>
      <rPr>
        <b/>
        <sz val="11"/>
        <color rgb="FFFF0000"/>
        <rFont val="微软雅黑"/>
        <family val="1"/>
        <charset val="134"/>
      </rPr>
      <t>-</t>
    </r>
    <r>
      <rPr>
        <b/>
        <sz val="11"/>
        <color rgb="FFFF0000"/>
        <rFont val="微软雅黑"/>
        <family val="2"/>
        <charset val="134"/>
      </rPr>
      <t>Global</t>
    </r>
    <phoneticPr fontId="1" type="noConversion"/>
  </si>
  <si>
    <r>
      <t>DEU</t>
    </r>
    <r>
      <rPr>
        <b/>
        <sz val="11"/>
        <color rgb="FFFF0000"/>
        <rFont val="微软雅黑"/>
        <family val="1"/>
        <charset val="134"/>
      </rPr>
      <t>-</t>
    </r>
    <r>
      <rPr>
        <b/>
        <sz val="11"/>
        <color rgb="FFFF0000"/>
        <rFont val="微软雅黑"/>
        <family val="2"/>
        <charset val="134"/>
      </rPr>
      <t>Global</t>
    </r>
    <phoneticPr fontId="1" type="noConversion"/>
  </si>
  <si>
    <r>
      <t>EU</t>
    </r>
    <r>
      <rPr>
        <b/>
        <sz val="11"/>
        <color rgb="FFFF0000"/>
        <rFont val="微软雅黑"/>
        <family val="1"/>
        <charset val="134"/>
      </rPr>
      <t>-</t>
    </r>
    <r>
      <rPr>
        <b/>
        <sz val="11"/>
        <color rgb="FFFF0000"/>
        <rFont val="微软雅黑"/>
        <family val="2"/>
        <charset val="134"/>
      </rPr>
      <t>Global</t>
    </r>
    <phoneticPr fontId="1" type="noConversion"/>
  </si>
  <si>
    <t>Subcont-Lead</t>
    <phoneticPr fontId="1" type="noConversion"/>
  </si>
  <si>
    <t>Clus5-Lead</t>
    <phoneticPr fontId="1" type="noConversion"/>
  </si>
  <si>
    <t>Clus10-Lead</t>
    <phoneticPr fontId="1" type="noConversion"/>
  </si>
  <si>
    <t>Clus20-Lead</t>
    <phoneticPr fontId="1" type="noConversion"/>
  </si>
  <si>
    <t>Cont-Lead</t>
    <phoneticPr fontId="1" type="noConversion"/>
  </si>
  <si>
    <t>情景5一级 50</t>
    <phoneticPr fontId="1" type="noConversion"/>
  </si>
  <si>
    <t>情景5二级 50</t>
    <phoneticPr fontId="1" type="noConversion"/>
  </si>
  <si>
    <t>CHN‑Global</t>
  </si>
  <si>
    <t>Global application of China's model</t>
  </si>
  <si>
    <t>USA‑Global</t>
  </si>
  <si>
    <t>Global application of the United States' model</t>
  </si>
  <si>
    <t>DEU‑Global</t>
  </si>
  <si>
    <t>Global application of Germany's model</t>
  </si>
  <si>
    <t>EU‑Global</t>
  </si>
  <si>
    <t>Global application of the European Union's model</t>
  </si>
  <si>
    <t>Cont‑Lead</t>
  </si>
  <si>
    <t>Continental adoption of the leading country's model</t>
  </si>
  <si>
    <t>Subcont‑Lead</t>
  </si>
  <si>
    <t>Subcontinental adoption of the leading country's model</t>
  </si>
  <si>
    <t>Clus5‑Lead</t>
  </si>
  <si>
    <t>Leading model applied within each of 5 typological clusters</t>
  </si>
  <si>
    <t>Clus10‑Lead</t>
  </si>
  <si>
    <t>Leading model applied within each of 10 typological clusters</t>
  </si>
  <si>
    <t>Clus20‑Lead</t>
  </si>
  <si>
    <t>Leading model applied within each of 20 typological clusters</t>
  </si>
  <si>
    <t>1-50</t>
    <phoneticPr fontId="1" type="noConversion"/>
  </si>
  <si>
    <t>2-50</t>
    <phoneticPr fontId="1" type="noConversion"/>
  </si>
  <si>
    <t>3-50</t>
    <phoneticPr fontId="1" type="noConversion"/>
  </si>
  <si>
    <t>4-50</t>
    <phoneticPr fontId="1" type="noConversion"/>
  </si>
  <si>
    <t>5-50 二级</t>
    <phoneticPr fontId="1" type="noConversion"/>
  </si>
  <si>
    <t>7-50 一级</t>
    <phoneticPr fontId="1" type="noConversion"/>
  </si>
  <si>
    <t>9-50 一级</t>
    <phoneticPr fontId="1" type="noConversion"/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</si>
  <si>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</si>
  <si>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</si>
  <si>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</si>
  <si>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</si>
  <si>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</si>
  <si>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</si>
  <si>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</si>
  <si>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</si>
  <si>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</si>
  <si>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</si>
  <si>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BANGLADESH</t>
  </si>
  <si>
    <t>BAHRAIN</t>
  </si>
  <si>
    <t>BELARUS</t>
  </si>
  <si>
    <t>BELGIUM</t>
  </si>
  <si>
    <t>BELIZE</t>
  </si>
  <si>
    <t>BOLIVIA</t>
  </si>
  <si>
    <t>BENIN</t>
  </si>
  <si>
    <t>BOSNIA AND HERZEGOVINA</t>
  </si>
  <si>
    <t>BOTSWANA</t>
  </si>
  <si>
    <t>BRAZIL</t>
  </si>
  <si>
    <t>BHUTAN</t>
  </si>
  <si>
    <t>BULGARIA</t>
  </si>
  <si>
    <t>BURKINA FASO</t>
  </si>
  <si>
    <t>BRUNEI</t>
  </si>
  <si>
    <t>CAMBODIA</t>
  </si>
  <si>
    <t>CANADA</t>
  </si>
  <si>
    <t>CHILE</t>
  </si>
  <si>
    <t>CHINA</t>
  </si>
  <si>
    <t>CAMEROON</t>
  </si>
  <si>
    <t>COLOMBIA</t>
  </si>
  <si>
    <t>COSTA RICA</t>
  </si>
  <si>
    <t>CANARIAS</t>
  </si>
  <si>
    <t>CROATIA</t>
  </si>
  <si>
    <t>BURUNDI</t>
  </si>
  <si>
    <t>CASPIAN SEA</t>
  </si>
  <si>
    <t>CYPRUS</t>
  </si>
  <si>
    <t>CENTRAL AFRICAN REPUBLIC</t>
  </si>
  <si>
    <t>CZECH REPUBLIC</t>
  </si>
  <si>
    <t>CHAD</t>
  </si>
  <si>
    <t>DENMARK</t>
  </si>
  <si>
    <t>DJIBOUTI</t>
  </si>
  <si>
    <t>DOMINICAN REPUBLIC</t>
  </si>
  <si>
    <t>ECUADOR</t>
  </si>
  <si>
    <t>CONGO</t>
  </si>
  <si>
    <t>EGYPT</t>
  </si>
  <si>
    <t>CONGO,THE DEMOCRATIC REPUBLIC OF THE</t>
  </si>
  <si>
    <t>EL SALVADOR</t>
  </si>
  <si>
    <t>ESTONIA</t>
  </si>
  <si>
    <t>COTE D’IVOIRE</t>
  </si>
  <si>
    <t>ETHIOPIA</t>
  </si>
  <si>
    <t>FINLAND</t>
  </si>
  <si>
    <t>CUBA</t>
  </si>
  <si>
    <t>FRANCE</t>
  </si>
  <si>
    <t>GERMANY</t>
  </si>
  <si>
    <t>GHANA</t>
  </si>
  <si>
    <t>GREECE</t>
  </si>
  <si>
    <t>GUATEMALA</t>
  </si>
  <si>
    <t>HONDURAS</t>
  </si>
  <si>
    <t>HUNGARY</t>
  </si>
  <si>
    <t>INDIA</t>
  </si>
  <si>
    <t>INDONESIA</t>
  </si>
  <si>
    <t>ERITREA</t>
  </si>
  <si>
    <t>IRAN</t>
  </si>
  <si>
    <t>EQUATORIAL GUINEA</t>
  </si>
  <si>
    <t>ISRAEL</t>
  </si>
  <si>
    <t>EAST TIMOR</t>
  </si>
  <si>
    <t>ITALY</t>
  </si>
  <si>
    <t>JAPAN</t>
  </si>
  <si>
    <t>JORDAN</t>
  </si>
  <si>
    <t>FRENCH GUIANA</t>
  </si>
  <si>
    <t>KAZAKHSTAN</t>
  </si>
  <si>
    <t>GABON</t>
  </si>
  <si>
    <t>KENYA</t>
  </si>
  <si>
    <t>GEORGIA</t>
  </si>
  <si>
    <t>KOREA, REPUBLIC OF</t>
  </si>
  <si>
    <t>KUWAIT</t>
  </si>
  <si>
    <t>LAOS</t>
  </si>
  <si>
    <t>FAROE ISLANDS</t>
  </si>
  <si>
    <t>GIBRALTAR</t>
  </si>
  <si>
    <t>LITHUANIA</t>
  </si>
  <si>
    <t>FIJI</t>
  </si>
  <si>
    <t>LUXEMBOURG</t>
  </si>
  <si>
    <t>GUADELOUPE</t>
  </si>
  <si>
    <t>MACEDONIA,THE FORMER YUGOSLAV REPUBLIC OF</t>
  </si>
  <si>
    <t>MADAGASCAR</t>
  </si>
  <si>
    <t>GUYANA</t>
  </si>
  <si>
    <t>MALAWI</t>
  </si>
  <si>
    <t>HAITI</t>
  </si>
  <si>
    <t>MALAYSIA</t>
  </si>
  <si>
    <t>GAMBIA</t>
  </si>
  <si>
    <t>GUINEA</t>
  </si>
  <si>
    <t>MALI</t>
  </si>
  <si>
    <t>GUINEA-BISSAU</t>
  </si>
  <si>
    <t>MALTA</t>
  </si>
  <si>
    <t>ICELAND</t>
  </si>
  <si>
    <t>MAURITANIA</t>
  </si>
  <si>
    <t>MEXICO</t>
  </si>
  <si>
    <t>MOLDOVA</t>
  </si>
  <si>
    <t>MONGOLIA</t>
  </si>
  <si>
    <t>IRAQ</t>
  </si>
  <si>
    <t>MOROCCO</t>
  </si>
  <si>
    <t>IRELAND</t>
  </si>
  <si>
    <t>MOZAMBIQUE</t>
  </si>
  <si>
    <t>MYANMAR</t>
  </si>
  <si>
    <t>NAMIBIA</t>
  </si>
  <si>
    <t>NEPAL</t>
  </si>
  <si>
    <t>NETHERLANDS</t>
  </si>
  <si>
    <t>NEW CALEDONIA</t>
  </si>
  <si>
    <t>NICARAGUA</t>
  </si>
  <si>
    <t>NEW ZEALAND</t>
  </si>
  <si>
    <t>NIGER</t>
  </si>
  <si>
    <t>NIGERIA</t>
  </si>
  <si>
    <t>KYRGYZSTAN</t>
  </si>
  <si>
    <t>NORWAY</t>
  </si>
  <si>
    <t>OMAN</t>
  </si>
  <si>
    <t>LATVIA</t>
  </si>
  <si>
    <t>PAKISTAN</t>
  </si>
  <si>
    <t>LEBANON</t>
  </si>
  <si>
    <t>KOREA,DEMOCRATIC PEOPLE'S REPUBLIC OF</t>
  </si>
  <si>
    <t>PANAMA</t>
  </si>
  <si>
    <t>LESOTHO</t>
  </si>
  <si>
    <t>PERU</t>
  </si>
  <si>
    <t>LIBERIA</t>
  </si>
  <si>
    <t>PHILIPPINES</t>
  </si>
  <si>
    <t>LIBYA</t>
  </si>
  <si>
    <t>POLAND</t>
  </si>
  <si>
    <t>PORTUGAL</t>
  </si>
  <si>
    <t>QATAR</t>
  </si>
  <si>
    <t>ROMANIA</t>
  </si>
  <si>
    <t>RUSSIAN FEDERATION</t>
  </si>
  <si>
    <t>MADEIRA</t>
  </si>
  <si>
    <t>RWANDA</t>
  </si>
  <si>
    <t>SAUDI ARABIA</t>
  </si>
  <si>
    <t>SENEGAL</t>
  </si>
  <si>
    <t>SAN MARINO</t>
  </si>
  <si>
    <t>SERBIA</t>
  </si>
  <si>
    <t>SLOVAKIA</t>
  </si>
  <si>
    <t>MARTINIQUE</t>
  </si>
  <si>
    <t>SLOVENIA</t>
  </si>
  <si>
    <t>SOMALIA</t>
  </si>
  <si>
    <t>SOUTH AFRICA</t>
  </si>
  <si>
    <t>SPAIN</t>
  </si>
  <si>
    <t>SRILANKA</t>
  </si>
  <si>
    <t>MONTENEGRO</t>
  </si>
  <si>
    <t>SUDAN</t>
  </si>
  <si>
    <t>SURINAME</t>
  </si>
  <si>
    <t>SWEDEN</t>
  </si>
  <si>
    <t>SWITZERLAND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</si>
  <si>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</si>
  <si>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</si>
  <si>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</si>
  <si>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</si>
  <si>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</si>
  <si>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</si>
  <si>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</si>
  <si>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MICRONESIA,FEDERATED STATES OF</t>
  </si>
  <si>
    <t>UNITED STATES</t>
  </si>
  <si>
    <t>URUGUAY</t>
  </si>
  <si>
    <t>VENEZUELA</t>
  </si>
  <si>
    <t>VIET NAM</t>
  </si>
  <si>
    <t>ZAMBIA</t>
  </si>
  <si>
    <t>PAPUA NEW GUINEA</t>
  </si>
  <si>
    <t>ZIMBABWE</t>
  </si>
  <si>
    <t>PARAGUAY</t>
  </si>
  <si>
    <t>REUNION</t>
  </si>
  <si>
    <t>SIERRA LEONE</t>
  </si>
  <si>
    <t>SINGAPORE</t>
  </si>
  <si>
    <t>SOUTH SUDAN</t>
  </si>
  <si>
    <t>SAO TOME AND PRINCIPE</t>
  </si>
  <si>
    <t>SWAZILAND</t>
  </si>
  <si>
    <t>SYRIAN ARAB REPUBLIC</t>
  </si>
  <si>
    <t>TAJIKISTAN</t>
  </si>
  <si>
    <t>TANZANIA</t>
  </si>
  <si>
    <t>TOGO</t>
  </si>
  <si>
    <t>SOLOMON ISLANDS</t>
  </si>
  <si>
    <t>TURKMENISTAN</t>
  </si>
  <si>
    <t>UZBEKISTAN</t>
  </si>
  <si>
    <t>WESTERN SAHARA</t>
  </si>
  <si>
    <t>YEMEN</t>
  </si>
  <si>
    <t>VANUATU</t>
  </si>
  <si>
    <t>行标签</t>
  </si>
  <si>
    <t>反事实外推装机量_校准后 GW</t>
    <phoneticPr fontId="1" type="noConversion"/>
  </si>
  <si>
    <t>11-70</t>
    <phoneticPr fontId="1" type="noConversion"/>
  </si>
  <si>
    <t>VIRGIN ISLANDS,BRITISH</t>
  </si>
  <si>
    <t>VIRGIN ISLANDS,U.S.</t>
  </si>
  <si>
    <t>5-50 一级</t>
    <phoneticPr fontId="1" type="noConversion"/>
  </si>
  <si>
    <t>年辐照强度(MJ/m2)</t>
  </si>
  <si>
    <t>年辐照强度(MJ/m2)</t>
    <phoneticPr fontId="1" type="noConversion"/>
  </si>
  <si>
    <t>真实装机容量 GW</t>
    <phoneticPr fontId="1" type="noConversion"/>
  </si>
  <si>
    <t>ZIMBABWE</t>
    <phoneticPr fontId="1" type="noConversion"/>
  </si>
  <si>
    <t>Total</t>
    <phoneticPr fontId="1" type="noConversion"/>
  </si>
  <si>
    <t>预测加强平均辐照强度</t>
    <phoneticPr fontId="1" type="noConversion"/>
  </si>
  <si>
    <t>真实加强平均辐照强度</t>
    <phoneticPr fontId="1" type="noConversion"/>
  </si>
  <si>
    <t>辐照强度变化</t>
    <phoneticPr fontId="1" type="noConversion"/>
  </si>
  <si>
    <t>total装机预测</t>
    <phoneticPr fontId="1" type="noConversion"/>
  </si>
  <si>
    <t>total装机现有</t>
    <phoneticPr fontId="1" type="noConversion"/>
  </si>
  <si>
    <t>集中式+分布式</t>
    <phoneticPr fontId="1" type="noConversion"/>
  </si>
  <si>
    <t>预测辐照强度</t>
    <phoneticPr fontId="1" type="noConversion"/>
  </si>
  <si>
    <t>真实辐照强度</t>
    <phoneticPr fontId="1" type="noConversion"/>
  </si>
  <si>
    <t>反事实外推装机量_校准后 GW</t>
  </si>
  <si>
    <t>真实年辐照强度(MJ/m2)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</si>
</sst>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8" formatCode="0.000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rgb="FFFF0000"/>
      <name val="微软雅黑"/>
      <family val="1"/>
      <charset val="134"/>
    </font>
    <font>
      <b/>
      <sz val="18"/>
      <color theme="0"/>
      <name val="Arial"/>
      <family val="2"/>
    </font>
    <font>
      <sz val="11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9" fontId="6" fillId="2" borderId="0" xfId="0" applyNumberFormat="1" applyFont="1" applyFill="1" applyAlignment="1">
      <alignment vertical="center" wrapText="1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178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9" fontId="2" fillId="0" borderId="0" xfId="1" applyFont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1" fontId="2" fillId="0" borderId="7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/>
    </xf>
    <xf numFmtId="176" fontId="2" fillId="0" borderId="3" xfId="0" applyNumberFormat="1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vertical="center"/>
    </xf>
    <xf numFmtId="11" fontId="2" fillId="0" borderId="0" xfId="0" applyNumberFormat="1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/>
    </xf>
    <xf numFmtId="11" fontId="2" fillId="0" borderId="4" xfId="0" applyNumberFormat="1" applyFont="1" applyBorder="1" applyAlignment="1">
      <alignment horizont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1" fontId="2" fillId="0" borderId="6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4" xfId="0" applyFont="1" applyBorder="1"/>
    <xf numFmtId="11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1" fontId="11" fillId="0" borderId="1" xfId="0" applyNumberFormat="1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76" fontId="12" fillId="0" borderId="2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902C-84E7-408C-A8A6-0FEC4CF54A88}">
  <dimension ref="C4:D12"/>
  <sheetViews>
    <sheetView workbookViewId="0">
      <selection activeCell="D35" sqref="D35"/>
    </sheetView>
  </sheetViews>
  <sheetFormatPr defaultRowHeight="14" x14ac:dyDescent="0.3"/>
  <cols>
    <col min="1" max="2" width="8.6640625" style="25"/>
    <col min="3" max="3" width="19.5" style="25" customWidth="1"/>
    <col min="4" max="4" width="53.33203125" style="25" customWidth="1"/>
    <col min="5" max="16384" width="8.6640625" style="25"/>
  </cols>
  <sheetData>
    <row r="4" spans="3:4" x14ac:dyDescent="0.3">
      <c r="C4" s="26" t="s">
        <v>28</v>
      </c>
      <c r="D4" s="26" t="s">
        <v>29</v>
      </c>
    </row>
    <row r="5" spans="3:4" x14ac:dyDescent="0.3">
      <c r="C5" s="26" t="s">
        <v>30</v>
      </c>
      <c r="D5" s="26" t="s">
        <v>31</v>
      </c>
    </row>
    <row r="6" spans="3:4" x14ac:dyDescent="0.3">
      <c r="C6" s="26" t="s">
        <v>32</v>
      </c>
      <c r="D6" s="26" t="s">
        <v>33</v>
      </c>
    </row>
    <row r="7" spans="3:4" x14ac:dyDescent="0.3">
      <c r="C7" s="26" t="s">
        <v>34</v>
      </c>
      <c r="D7" s="26" t="s">
        <v>35</v>
      </c>
    </row>
    <row r="8" spans="3:4" x14ac:dyDescent="0.3">
      <c r="C8" s="26" t="s">
        <v>36</v>
      </c>
      <c r="D8" s="26" t="s">
        <v>37</v>
      </c>
    </row>
    <row r="9" spans="3:4" x14ac:dyDescent="0.3">
      <c r="C9" s="26" t="s">
        <v>38</v>
      </c>
      <c r="D9" s="26" t="s">
        <v>39</v>
      </c>
    </row>
    <row r="10" spans="3:4" x14ac:dyDescent="0.3">
      <c r="C10" s="26" t="s">
        <v>40</v>
      </c>
      <c r="D10" s="26" t="s">
        <v>41</v>
      </c>
    </row>
    <row r="11" spans="3:4" x14ac:dyDescent="0.3">
      <c r="C11" s="26" t="s">
        <v>42</v>
      </c>
      <c r="D11" s="26" t="s">
        <v>43</v>
      </c>
    </row>
    <row r="12" spans="3:4" x14ac:dyDescent="0.3">
      <c r="C12" s="26" t="s">
        <v>44</v>
      </c>
      <c r="D12" s="26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B19E-6770-4126-BC31-F52E0218C1A1}">
  <dimension ref="A1:O39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J2" sqref="J2:J10"/>
    </sheetView>
  </sheetViews>
  <sheetFormatPr defaultRowHeight="16.5" x14ac:dyDescent="0.45"/>
  <cols>
    <col min="1" max="1" width="18.75" style="14" customWidth="1"/>
    <col min="2" max="2" width="14.5" style="9" customWidth="1"/>
    <col min="3" max="3" width="12.08203125" style="10" customWidth="1"/>
    <col min="4" max="5" width="12.83203125" style="10" customWidth="1"/>
    <col min="6" max="6" width="11.08203125" style="10" customWidth="1"/>
    <col min="7" max="7" width="11.83203125" style="10" customWidth="1"/>
    <col min="8" max="8" width="12.4140625" style="12" customWidth="1"/>
    <col min="9" max="9" width="11.08203125" style="10" customWidth="1"/>
    <col min="10" max="10" width="12.4140625" style="10" customWidth="1"/>
    <col min="11" max="11" width="8.6640625" style="10"/>
    <col min="12" max="12" width="15.6640625" style="10" customWidth="1"/>
    <col min="13" max="14" width="12.75" style="9" customWidth="1"/>
    <col min="15" max="16" width="8.6640625" style="10"/>
    <col min="17" max="17" width="9.08203125" style="10" customWidth="1"/>
    <col min="18" max="16384" width="8.6640625" style="10"/>
  </cols>
  <sheetData>
    <row r="1" spans="1:15" s="6" customFormat="1" ht="40.5" customHeight="1" thickBot="1" x14ac:dyDescent="0.5">
      <c r="A1" s="50" t="s">
        <v>11</v>
      </c>
      <c r="B1" s="51"/>
      <c r="C1" s="29" t="s">
        <v>3</v>
      </c>
      <c r="D1" s="30" t="s">
        <v>1</v>
      </c>
      <c r="E1" s="30" t="s">
        <v>244</v>
      </c>
      <c r="F1" s="31" t="s">
        <v>14</v>
      </c>
      <c r="G1" s="29" t="s">
        <v>2</v>
      </c>
      <c r="H1" s="30" t="s">
        <v>4</v>
      </c>
      <c r="I1" s="30" t="s">
        <v>245</v>
      </c>
      <c r="J1" s="31" t="s">
        <v>15</v>
      </c>
      <c r="K1" s="7" t="s">
        <v>246</v>
      </c>
      <c r="L1" s="7" t="s">
        <v>16</v>
      </c>
    </row>
    <row r="2" spans="1:15" s="7" customFormat="1" x14ac:dyDescent="0.3">
      <c r="A2" s="40" t="s">
        <v>17</v>
      </c>
      <c r="B2" s="30" t="s">
        <v>0</v>
      </c>
      <c r="C2" s="41">
        <v>32211940856.6819</v>
      </c>
      <c r="D2" s="42">
        <v>9054343562.1716309</v>
      </c>
      <c r="E2" s="57">
        <f>D2/C2/0.16*3.6*1000</f>
        <v>6324.4475412167649</v>
      </c>
      <c r="F2" s="60">
        <f>C2*C$24</f>
        <v>6442.3881713363799</v>
      </c>
      <c r="G2" s="41">
        <v>10165162906.726601</v>
      </c>
      <c r="H2" s="42">
        <v>2869056565.2003627</v>
      </c>
      <c r="I2" s="57">
        <f>H2/G2/0.16*3.6*1000</f>
        <v>6350.4907210381207</v>
      </c>
      <c r="J2" s="43">
        <f>G2*C$24</f>
        <v>2033.0325813453201</v>
      </c>
      <c r="K2" s="23">
        <f>E2/I2-1</f>
        <v>-4.1009712422819256E-3</v>
      </c>
      <c r="L2" s="13">
        <f>F2/J2</f>
        <v>3.1688563333664108</v>
      </c>
      <c r="O2" s="8">
        <f>F2-J2</f>
        <v>4409.3555899910598</v>
      </c>
    </row>
    <row r="3" spans="1:15" x14ac:dyDescent="0.45">
      <c r="A3" s="44" t="s">
        <v>18</v>
      </c>
      <c r="B3" s="45" t="s">
        <v>5</v>
      </c>
      <c r="C3" s="32">
        <v>29048330811.987766</v>
      </c>
      <c r="D3" s="33">
        <v>8051465630.9701605</v>
      </c>
      <c r="E3" s="58">
        <f t="shared" ref="E3:E10" si="0">D3/C3/0.16*3.6*1000</f>
        <v>6236.4332694141485</v>
      </c>
      <c r="F3" s="61">
        <f>C3*C$24</f>
        <v>5809.6661623975533</v>
      </c>
      <c r="G3" s="32">
        <v>10165162906.726625</v>
      </c>
      <c r="H3" s="33">
        <v>2869056565.2003627</v>
      </c>
      <c r="I3" s="58">
        <f t="shared" ref="I3:I10" si="1">H3/G3/0.16*3.6*1000</f>
        <v>6350.4907210381043</v>
      </c>
      <c r="J3" s="34">
        <f>G3*C$24</f>
        <v>2033.0325813453251</v>
      </c>
      <c r="K3" s="23">
        <f>E3/I3-1</f>
        <v>-1.796041544413296E-2</v>
      </c>
      <c r="L3" s="13">
        <f>F3/J3</f>
        <v>2.8576355419513764</v>
      </c>
      <c r="M3" s="10"/>
      <c r="N3" s="10"/>
      <c r="O3" s="8">
        <f t="shared" ref="O3:O10" si="2">F3-J3</f>
        <v>3776.6335810522282</v>
      </c>
    </row>
    <row r="4" spans="1:15" x14ac:dyDescent="0.45">
      <c r="A4" s="44" t="s">
        <v>19</v>
      </c>
      <c r="B4" s="45" t="s">
        <v>6</v>
      </c>
      <c r="C4" s="32">
        <v>57354753369.583885</v>
      </c>
      <c r="D4" s="33">
        <v>14600644513.14312</v>
      </c>
      <c r="E4" s="58">
        <f t="shared" si="0"/>
        <v>5727.7641737700606</v>
      </c>
      <c r="F4" s="61">
        <f>C4*C$24</f>
        <v>11470.950673916777</v>
      </c>
      <c r="G4" s="32">
        <v>10165162906.726625</v>
      </c>
      <c r="H4" s="33">
        <v>2869056565.2003627</v>
      </c>
      <c r="I4" s="58">
        <f t="shared" si="1"/>
        <v>6350.4907210381043</v>
      </c>
      <c r="J4" s="34">
        <f>G4*C$24</f>
        <v>2033.0325813453251</v>
      </c>
      <c r="K4" s="23">
        <f>E4/I4-1</f>
        <v>-9.8059594860135157E-2</v>
      </c>
      <c r="L4" s="13">
        <f>F4/J4</f>
        <v>5.6422857061769607</v>
      </c>
      <c r="M4" s="10"/>
      <c r="N4" s="10"/>
      <c r="O4" s="8">
        <f t="shared" si="2"/>
        <v>9437.9180925714518</v>
      </c>
    </row>
    <row r="5" spans="1:15" x14ac:dyDescent="0.45">
      <c r="A5" s="44" t="s">
        <v>20</v>
      </c>
      <c r="B5" s="45" t="s">
        <v>7</v>
      </c>
      <c r="C5" s="32">
        <v>44088878089.056137</v>
      </c>
      <c r="D5" s="33">
        <v>12456012986.37639</v>
      </c>
      <c r="E5" s="58">
        <f t="shared" si="0"/>
        <v>6356.7118135182436</v>
      </c>
      <c r="F5" s="61">
        <f>C5*C$24</f>
        <v>8817.7756178112268</v>
      </c>
      <c r="G5" s="32">
        <v>10165162906.726625</v>
      </c>
      <c r="H5" s="33">
        <v>2869056565.2003627</v>
      </c>
      <c r="I5" s="58">
        <f t="shared" si="1"/>
        <v>6350.4907210381043</v>
      </c>
      <c r="J5" s="34">
        <f>G5*C$24</f>
        <v>2033.0325813453251</v>
      </c>
      <c r="K5" s="23">
        <f>E5/I5-1</f>
        <v>9.7962389891059765E-4</v>
      </c>
      <c r="L5" s="13">
        <f>F5/J5</f>
        <v>4.3372524861240604</v>
      </c>
      <c r="M5" s="10"/>
      <c r="N5" s="10"/>
      <c r="O5" s="8">
        <f t="shared" si="2"/>
        <v>6784.7430364659012</v>
      </c>
    </row>
    <row r="6" spans="1:15" x14ac:dyDescent="0.45">
      <c r="A6" s="44" t="s">
        <v>25</v>
      </c>
      <c r="B6" s="46" t="s">
        <v>26</v>
      </c>
      <c r="C6" s="32">
        <v>31583173788.483246</v>
      </c>
      <c r="D6" s="33">
        <v>8294191009.4225674</v>
      </c>
      <c r="E6" s="58">
        <f t="shared" si="0"/>
        <v>5908.8202775890177</v>
      </c>
      <c r="F6" s="61">
        <f>C6*C$24</f>
        <v>6316.6347576966491</v>
      </c>
      <c r="G6" s="32">
        <v>10061648263.011732</v>
      </c>
      <c r="H6" s="33">
        <v>2847696263.875001</v>
      </c>
      <c r="I6" s="58">
        <f t="shared" si="1"/>
        <v>6368.0586184602562</v>
      </c>
      <c r="J6" s="34">
        <f>G6*C$24</f>
        <v>2012.3296526023464</v>
      </c>
      <c r="K6" s="23">
        <f>E6/I6-1</f>
        <v>-7.2115909790773647E-2</v>
      </c>
      <c r="L6" s="13">
        <f>F6/J6</f>
        <v>3.1389661974756331</v>
      </c>
      <c r="M6" s="10"/>
      <c r="N6" s="10"/>
      <c r="O6" s="8">
        <f t="shared" si="2"/>
        <v>4304.3051050943031</v>
      </c>
    </row>
    <row r="7" spans="1:15" s="14" customFormat="1" ht="15" customHeight="1" x14ac:dyDescent="0.45">
      <c r="A7" s="44" t="s">
        <v>21</v>
      </c>
      <c r="B7" s="46" t="s">
        <v>27</v>
      </c>
      <c r="C7" s="35">
        <v>24859107566.187557</v>
      </c>
      <c r="D7" s="36">
        <v>6533896624.9647913</v>
      </c>
      <c r="E7" s="58">
        <f t="shared" si="0"/>
        <v>5913.8355498195369</v>
      </c>
      <c r="F7" s="61">
        <f>C7*C$24</f>
        <v>4971.8215132375108</v>
      </c>
      <c r="G7" s="32">
        <v>10165162906.726625</v>
      </c>
      <c r="H7" s="36">
        <v>2869056565.2003627</v>
      </c>
      <c r="I7" s="58">
        <f t="shared" si="1"/>
        <v>6350.4907210381043</v>
      </c>
      <c r="J7" s="34">
        <f>G7*C$24</f>
        <v>2033.0325813453251</v>
      </c>
      <c r="K7" s="23">
        <f>E7/I7-1</f>
        <v>-6.8759280250895061E-2</v>
      </c>
      <c r="L7" s="13">
        <f>F7/J7</f>
        <v>2.4455198400939997</v>
      </c>
      <c r="M7" s="12"/>
      <c r="O7" s="8">
        <f t="shared" si="2"/>
        <v>2938.7889318921857</v>
      </c>
    </row>
    <row r="8" spans="1:15" x14ac:dyDescent="0.45">
      <c r="A8" s="44" t="s">
        <v>22</v>
      </c>
      <c r="B8" s="45" t="s">
        <v>8</v>
      </c>
      <c r="C8" s="32">
        <v>27394133486.68211</v>
      </c>
      <c r="D8" s="33">
        <v>7126852407.6935425</v>
      </c>
      <c r="E8" s="58">
        <f t="shared" si="0"/>
        <v>5853.5955974319186</v>
      </c>
      <c r="F8" s="61">
        <f>C8*C$24</f>
        <v>5478.8266973364216</v>
      </c>
      <c r="G8" s="32">
        <v>10155934799.898119</v>
      </c>
      <c r="H8" s="33">
        <v>2866157364.9826565</v>
      </c>
      <c r="I8" s="58">
        <f t="shared" si="1"/>
        <v>6349.8379994283432</v>
      </c>
      <c r="J8" s="34">
        <f>G8*C$24</f>
        <v>2031.1869599796237</v>
      </c>
      <c r="K8" s="23">
        <f>E8/I8-1</f>
        <v>-7.8150403528578161E-2</v>
      </c>
      <c r="L8" s="13">
        <f>F8/J8</f>
        <v>2.6973522404807992</v>
      </c>
      <c r="M8" s="10"/>
      <c r="N8" s="10"/>
      <c r="O8" s="8">
        <f t="shared" si="2"/>
        <v>3447.6397373567979</v>
      </c>
    </row>
    <row r="9" spans="1:15" x14ac:dyDescent="0.45">
      <c r="A9" s="44" t="s">
        <v>23</v>
      </c>
      <c r="B9" s="45" t="s">
        <v>9</v>
      </c>
      <c r="C9" s="32">
        <v>27507667755.788963</v>
      </c>
      <c r="D9" s="33">
        <v>7032868042.1113348</v>
      </c>
      <c r="E9" s="58">
        <f t="shared" si="0"/>
        <v>5752.5607896803131</v>
      </c>
      <c r="F9" s="61">
        <f>C9*C$24</f>
        <v>5501.5335511577923</v>
      </c>
      <c r="G9" s="32">
        <v>10155934799.898119</v>
      </c>
      <c r="H9" s="33">
        <v>2866157364.9826565</v>
      </c>
      <c r="I9" s="58">
        <f t="shared" si="1"/>
        <v>6349.8379994283432</v>
      </c>
      <c r="J9" s="34">
        <f>G9*C$24</f>
        <v>2031.1869599796237</v>
      </c>
      <c r="K9" s="23">
        <f>E9/I9-1</f>
        <v>-9.4061802805331607E-2</v>
      </c>
      <c r="L9" s="13">
        <f>F9/J9</f>
        <v>2.7085313462296856</v>
      </c>
      <c r="M9" s="10"/>
      <c r="N9" s="10"/>
      <c r="O9" s="8">
        <f t="shared" si="2"/>
        <v>3470.3465911781686</v>
      </c>
    </row>
    <row r="10" spans="1:15" ht="17" thickBot="1" x14ac:dyDescent="0.5">
      <c r="A10" s="47" t="s">
        <v>24</v>
      </c>
      <c r="B10" s="48" t="s">
        <v>10</v>
      </c>
      <c r="C10" s="37">
        <v>23087550696.739162</v>
      </c>
      <c r="D10" s="38">
        <v>5921527421.7480717</v>
      </c>
      <c r="E10" s="59">
        <f t="shared" si="0"/>
        <v>5770.8315940222001</v>
      </c>
      <c r="F10" s="62">
        <f>C10*C$24</f>
        <v>4617.5101393478326</v>
      </c>
      <c r="G10" s="37">
        <v>10155934799.898119</v>
      </c>
      <c r="H10" s="38">
        <v>2866157364.9826565</v>
      </c>
      <c r="I10" s="59">
        <f t="shared" si="1"/>
        <v>6349.8379994283432</v>
      </c>
      <c r="J10" s="39">
        <f>G10*C$24</f>
        <v>2031.1869599796237</v>
      </c>
      <c r="K10" s="23">
        <f>E10/I10-1</f>
        <v>-9.1184437375925076E-2</v>
      </c>
      <c r="L10" s="13">
        <f>F10/J10</f>
        <v>2.2733063131688054</v>
      </c>
      <c r="M10" s="10"/>
      <c r="N10" s="10"/>
      <c r="O10" s="8">
        <f t="shared" si="2"/>
        <v>2586.3231793682089</v>
      </c>
    </row>
    <row r="11" spans="1:15" x14ac:dyDescent="0.45">
      <c r="F11" s="12"/>
      <c r="H11" s="10"/>
      <c r="M11" s="10"/>
      <c r="N11" s="10"/>
    </row>
    <row r="12" spans="1:15" ht="17" thickBot="1" x14ac:dyDescent="0.5">
      <c r="F12" s="12"/>
      <c r="H12" s="10"/>
      <c r="M12" s="10"/>
      <c r="N12" s="10"/>
    </row>
    <row r="13" spans="1:15" s="6" customFormat="1" ht="33.5" thickBot="1" x14ac:dyDescent="0.5">
      <c r="A13" s="49" t="s">
        <v>12</v>
      </c>
      <c r="B13" s="49"/>
      <c r="C13" s="29" t="s">
        <v>3</v>
      </c>
      <c r="D13" s="30" t="s">
        <v>1</v>
      </c>
      <c r="E13" s="30" t="s">
        <v>244</v>
      </c>
      <c r="F13" s="31" t="s">
        <v>14</v>
      </c>
      <c r="G13" s="29" t="s">
        <v>2</v>
      </c>
      <c r="H13" s="30" t="s">
        <v>4</v>
      </c>
      <c r="I13" s="30" t="s">
        <v>245</v>
      </c>
      <c r="J13" s="31" t="s">
        <v>15</v>
      </c>
      <c r="K13" s="7" t="s">
        <v>246</v>
      </c>
      <c r="L13" s="7" t="s">
        <v>16</v>
      </c>
    </row>
    <row r="14" spans="1:15" x14ac:dyDescent="0.45">
      <c r="A14" s="40" t="s">
        <v>17</v>
      </c>
      <c r="B14" s="30" t="s">
        <v>0</v>
      </c>
      <c r="C14" s="55">
        <v>1594981658.6117191</v>
      </c>
      <c r="D14" s="52">
        <v>430773053.60903782</v>
      </c>
      <c r="E14" s="57">
        <f>D14/C14/0.16*3.6*1000</f>
        <v>6076.8057449887319</v>
      </c>
      <c r="F14" s="63">
        <f>C14*C$24</f>
        <v>318.99633172234383</v>
      </c>
      <c r="G14" s="55">
        <v>902668361.60434639</v>
      </c>
      <c r="H14" s="52">
        <v>230928106.42329314</v>
      </c>
      <c r="I14" s="57">
        <f>H14/G14/0.16*3.6*1000</f>
        <v>5756.1366006993521</v>
      </c>
      <c r="J14" s="53">
        <f>G14*C$24</f>
        <v>180.53367232086927</v>
      </c>
      <c r="K14" s="23">
        <f>E14/I14-1</f>
        <v>5.5709092145314942E-2</v>
      </c>
      <c r="L14" s="13">
        <f>F14/J14</f>
        <v>1.7669630691131109</v>
      </c>
      <c r="M14" s="10"/>
      <c r="N14" s="10"/>
    </row>
    <row r="15" spans="1:15" x14ac:dyDescent="0.45">
      <c r="A15" s="44" t="s">
        <v>18</v>
      </c>
      <c r="B15" s="45" t="s">
        <v>5</v>
      </c>
      <c r="C15" s="32">
        <v>2005563983.4473126</v>
      </c>
      <c r="D15" s="33">
        <v>554703409.84377134</v>
      </c>
      <c r="E15" s="58">
        <f t="shared" ref="E15:E22" si="3">D15/C15/0.16*3.6*1000</f>
        <v>6223.1007459716548</v>
      </c>
      <c r="F15" s="61">
        <f>C15*C$24</f>
        <v>401.11279668946253</v>
      </c>
      <c r="G15" s="32">
        <v>902668361.60434639</v>
      </c>
      <c r="H15" s="33">
        <v>230928106.42329314</v>
      </c>
      <c r="I15" s="58">
        <f t="shared" ref="I15:I22" si="4">H15/G15/0.16*3.6*1000</f>
        <v>5756.1366006993521</v>
      </c>
      <c r="J15" s="34">
        <f>G15*C$24</f>
        <v>180.53367232086927</v>
      </c>
      <c r="K15" s="23">
        <f>E15/I15-1</f>
        <v>8.1124576719664443E-2</v>
      </c>
      <c r="L15" s="13">
        <f>F15/J15</f>
        <v>2.2218170800655388</v>
      </c>
      <c r="M15" s="10"/>
      <c r="N15" s="10"/>
    </row>
    <row r="16" spans="1:15" x14ac:dyDescent="0.45">
      <c r="A16" s="44" t="s">
        <v>19</v>
      </c>
      <c r="B16" s="45" t="s">
        <v>6</v>
      </c>
      <c r="C16" s="32">
        <v>3317163553.9524384</v>
      </c>
      <c r="D16" s="33">
        <v>889718617.78251147</v>
      </c>
      <c r="E16" s="58">
        <f t="shared" si="3"/>
        <v>6034.8754514241655</v>
      </c>
      <c r="F16" s="61">
        <f>C16*C$24</f>
        <v>663.43271079048759</v>
      </c>
      <c r="G16" s="32">
        <v>902668361.60434639</v>
      </c>
      <c r="H16" s="33">
        <v>230928106.42329314</v>
      </c>
      <c r="I16" s="58">
        <f t="shared" si="4"/>
        <v>5756.1366006993521</v>
      </c>
      <c r="J16" s="34">
        <f>G16*C$24</f>
        <v>180.53367232086927</v>
      </c>
      <c r="K16" s="23">
        <f>E16/I16-1</f>
        <v>4.842464139766034E-2</v>
      </c>
      <c r="L16" s="13">
        <f>F16/J16</f>
        <v>3.6748419409058699</v>
      </c>
      <c r="M16" s="10"/>
      <c r="N16" s="10"/>
    </row>
    <row r="17" spans="1:14" x14ac:dyDescent="0.45">
      <c r="A17" s="44" t="s">
        <v>20</v>
      </c>
      <c r="B17" s="45" t="s">
        <v>7</v>
      </c>
      <c r="C17" s="32">
        <v>3163837700.1839223</v>
      </c>
      <c r="D17" s="33">
        <v>874692624.72120154</v>
      </c>
      <c r="E17" s="58">
        <f t="shared" si="3"/>
        <v>6220.4783940348607</v>
      </c>
      <c r="F17" s="61">
        <f>C17*C$24</f>
        <v>632.76754003678445</v>
      </c>
      <c r="G17" s="32">
        <v>902668361.60434639</v>
      </c>
      <c r="H17" s="33">
        <v>230928106.42329314</v>
      </c>
      <c r="I17" s="58">
        <f t="shared" si="4"/>
        <v>5756.1366006993521</v>
      </c>
      <c r="J17" s="34">
        <f>G17*C$24</f>
        <v>180.53367232086927</v>
      </c>
      <c r="K17" s="23">
        <f>E17/I17-1</f>
        <v>8.0669001718807865E-2</v>
      </c>
      <c r="L17" s="13">
        <f>F17/J17</f>
        <v>3.5049834853641206</v>
      </c>
      <c r="M17" s="10"/>
      <c r="N17" s="10"/>
    </row>
    <row r="18" spans="1:14" x14ac:dyDescent="0.45">
      <c r="A18" s="44" t="s">
        <v>25</v>
      </c>
      <c r="B18" s="46" t="s">
        <v>26</v>
      </c>
      <c r="C18" s="32">
        <v>2590620431.1034088</v>
      </c>
      <c r="D18" s="33">
        <v>773966866.12549353</v>
      </c>
      <c r="E18" s="58">
        <f t="shared" si="3"/>
        <v>6722.0401255024626</v>
      </c>
      <c r="F18" s="61">
        <f>C18*C$24</f>
        <v>518.12408622068176</v>
      </c>
      <c r="G18" s="32">
        <v>901286913.68458402</v>
      </c>
      <c r="H18" s="33">
        <v>230606828.5979031</v>
      </c>
      <c r="I18" s="58">
        <f t="shared" si="4"/>
        <v>5756.938844524987</v>
      </c>
      <c r="J18" s="34">
        <f>G18*C$24</f>
        <v>180.25738273691681</v>
      </c>
      <c r="K18" s="23">
        <f>E18/I18-1</f>
        <v>0.16764139884781204</v>
      </c>
      <c r="L18" s="13">
        <f>F18/J18</f>
        <v>2.8743570906988967</v>
      </c>
      <c r="M18" s="10"/>
      <c r="N18" s="10"/>
    </row>
    <row r="19" spans="1:14" x14ac:dyDescent="0.45">
      <c r="A19" s="44" t="s">
        <v>21</v>
      </c>
      <c r="B19" s="46" t="s">
        <v>27</v>
      </c>
      <c r="C19" s="32">
        <v>1273760373.7715409</v>
      </c>
      <c r="D19" s="33">
        <v>338457567.58016098</v>
      </c>
      <c r="E19" s="58">
        <f t="shared" si="3"/>
        <v>5978.5933267849377</v>
      </c>
      <c r="F19" s="61">
        <f>C19*C$24</f>
        <v>254.75207475430815</v>
      </c>
      <c r="G19" s="32">
        <v>902668361.60434639</v>
      </c>
      <c r="H19" s="33">
        <v>230928106.42329314</v>
      </c>
      <c r="I19" s="58">
        <f t="shared" si="4"/>
        <v>5756.1366006993521</v>
      </c>
      <c r="J19" s="34">
        <f>G19*C$24</f>
        <v>180.53367232086927</v>
      </c>
      <c r="K19" s="23">
        <f>E19/I19-1</f>
        <v>3.8646880975437226E-2</v>
      </c>
      <c r="L19" s="13">
        <f>F19/J19</f>
        <v>1.4111055930969361</v>
      </c>
      <c r="M19" s="10"/>
      <c r="N19" s="10"/>
    </row>
    <row r="20" spans="1:14" x14ac:dyDescent="0.45">
      <c r="A20" s="44" t="s">
        <v>22</v>
      </c>
      <c r="B20" s="45" t="s">
        <v>8</v>
      </c>
      <c r="C20" s="32">
        <v>1229269539.1312964</v>
      </c>
      <c r="D20" s="33">
        <v>317444414.07556087</v>
      </c>
      <c r="E20" s="58">
        <f t="shared" si="3"/>
        <v>5810.3606160676518</v>
      </c>
      <c r="F20" s="61">
        <f>C20*C$24</f>
        <v>245.85390782625927</v>
      </c>
      <c r="G20" s="32">
        <v>900671827.51137769</v>
      </c>
      <c r="H20" s="33">
        <v>230285708.64695537</v>
      </c>
      <c r="I20" s="58">
        <f t="shared" si="4"/>
        <v>5752.8483586226539</v>
      </c>
      <c r="J20" s="34">
        <f>G20*C$24</f>
        <v>180.13436550227553</v>
      </c>
      <c r="K20" s="23">
        <f>E20/I20-1</f>
        <v>9.9971794595967722E-3</v>
      </c>
      <c r="L20" s="13">
        <f>F20/J20</f>
        <v>1.3648362273391612</v>
      </c>
      <c r="M20" s="10"/>
      <c r="N20" s="10"/>
    </row>
    <row r="21" spans="1:14" x14ac:dyDescent="0.45">
      <c r="A21" s="44" t="s">
        <v>23</v>
      </c>
      <c r="B21" s="45" t="s">
        <v>9</v>
      </c>
      <c r="C21" s="32">
        <v>1260924588.6003003</v>
      </c>
      <c r="D21" s="33">
        <v>330185108.41412598</v>
      </c>
      <c r="E21" s="58">
        <f t="shared" si="3"/>
        <v>5891.8392158286324</v>
      </c>
      <c r="F21" s="61">
        <f>C21*C$24</f>
        <v>252.18491772006004</v>
      </c>
      <c r="G21" s="32">
        <v>900671827.51137769</v>
      </c>
      <c r="H21" s="33">
        <v>230285708.64695537</v>
      </c>
      <c r="I21" s="58">
        <f t="shared" si="4"/>
        <v>5752.8483586226539</v>
      </c>
      <c r="J21" s="34">
        <f>G21*C$24</f>
        <v>180.13436550227553</v>
      </c>
      <c r="K21" s="23">
        <f>E21/I21-1</f>
        <v>2.4160354756727065E-2</v>
      </c>
      <c r="L21" s="13">
        <f>F21/J21</f>
        <v>1.3999822688851358</v>
      </c>
      <c r="M21" s="10"/>
      <c r="N21" s="10"/>
    </row>
    <row r="22" spans="1:14" ht="17" thickBot="1" x14ac:dyDescent="0.5">
      <c r="A22" s="47" t="s">
        <v>24</v>
      </c>
      <c r="B22" s="48" t="s">
        <v>10</v>
      </c>
      <c r="C22" s="56">
        <v>1485378017.90518</v>
      </c>
      <c r="D22" s="54">
        <v>422893906.83278304</v>
      </c>
      <c r="E22" s="59">
        <f t="shared" si="3"/>
        <v>6405.852778915314</v>
      </c>
      <c r="F22" s="62">
        <f>C22*C$24</f>
        <v>297.07560358103598</v>
      </c>
      <c r="G22" s="56">
        <v>900671827.51137769</v>
      </c>
      <c r="H22" s="54">
        <v>230285708.64695537</v>
      </c>
      <c r="I22" s="59">
        <f t="shared" si="4"/>
        <v>5752.8483586226539</v>
      </c>
      <c r="J22" s="39">
        <f>G22*C$24</f>
        <v>180.13436550227553</v>
      </c>
      <c r="K22" s="23">
        <f>E22/I22-1</f>
        <v>0.11350975718209311</v>
      </c>
      <c r="L22" s="13">
        <f>F22/J22</f>
        <v>1.6491889415586456</v>
      </c>
      <c r="M22" s="10"/>
      <c r="N22" s="10"/>
    </row>
    <row r="24" spans="1:14" x14ac:dyDescent="0.45">
      <c r="B24" s="11" t="s">
        <v>13</v>
      </c>
      <c r="C24" s="11">
        <f>1/5000000</f>
        <v>1.9999999999999999E-7</v>
      </c>
    </row>
    <row r="29" spans="1:14" ht="25" x14ac:dyDescent="0.45">
      <c r="A29" s="27" t="s">
        <v>249</v>
      </c>
      <c r="B29" s="27"/>
      <c r="C29" s="27"/>
      <c r="D29" s="27"/>
      <c r="E29" s="27"/>
      <c r="F29" s="27"/>
    </row>
    <row r="30" spans="1:14" s="12" customFormat="1" ht="30" customHeight="1" x14ac:dyDescent="0.3">
      <c r="A30" s="7"/>
      <c r="B30" s="7" t="s">
        <v>250</v>
      </c>
      <c r="C30" s="7" t="s">
        <v>251</v>
      </c>
      <c r="D30" s="28" t="s">
        <v>246</v>
      </c>
      <c r="E30" s="7" t="s">
        <v>247</v>
      </c>
      <c r="F30" s="7" t="s">
        <v>248</v>
      </c>
      <c r="G30" s="7" t="s">
        <v>16</v>
      </c>
    </row>
    <row r="31" spans="1:14" x14ac:dyDescent="0.45">
      <c r="A31" s="15" t="s">
        <v>17</v>
      </c>
      <c r="B31" s="8">
        <f>(D2+D14)/(C2+C14)/0.16*3.6*1000</f>
        <v>6312.764013302899</v>
      </c>
      <c r="C31" s="8">
        <f>(H2+H14)/(G2+G14)/0.16*3.6*1000</f>
        <v>6302.016485479965</v>
      </c>
      <c r="D31" s="23">
        <f>B31/C31-1</f>
        <v>1.7054109343725976E-3</v>
      </c>
      <c r="E31" s="8">
        <f>F2+F14</f>
        <v>6761.3845030587236</v>
      </c>
      <c r="F31" s="8">
        <f>J2+J14</f>
        <v>2213.5662536661894</v>
      </c>
      <c r="G31" s="13">
        <f>E31/F31</f>
        <v>3.0545209531724073</v>
      </c>
    </row>
    <row r="32" spans="1:14" x14ac:dyDescent="0.45">
      <c r="A32" s="15" t="s">
        <v>18</v>
      </c>
      <c r="B32" s="8">
        <f>(D3+D15)/(C3+C15)/0.16*3.6*1000</f>
        <v>6235.5722106322837</v>
      </c>
      <c r="C32" s="8">
        <f>(H3+H15)/(G3+G15)/0.16*3.6*1000</f>
        <v>6302.0164854799496</v>
      </c>
      <c r="D32" s="23">
        <f t="shared" ref="D32:D39" si="5">B32/C32-1</f>
        <v>-1.0543335613411253E-2</v>
      </c>
      <c r="E32" s="8">
        <f>F3+F15</f>
        <v>6210.7789590870161</v>
      </c>
      <c r="F32" s="8">
        <f>J3+J15</f>
        <v>2213.5662536661944</v>
      </c>
      <c r="G32" s="13">
        <f>E32/F32</f>
        <v>2.8057795644474082</v>
      </c>
    </row>
    <row r="33" spans="1:7" x14ac:dyDescent="0.45">
      <c r="A33" s="15" t="s">
        <v>19</v>
      </c>
      <c r="B33" s="8">
        <f>(D4+D16)/(C4+C16)/0.16*3.6*1000</f>
        <v>5744.5551108114241</v>
      </c>
      <c r="C33" s="8">
        <f>(H4+H16)/(G4+G16)/0.16*3.6*1000</f>
        <v>6302.0164854799496</v>
      </c>
      <c r="D33" s="23">
        <f t="shared" si="5"/>
        <v>-8.8457619232341633E-2</v>
      </c>
      <c r="E33" s="8">
        <f>F4+F16</f>
        <v>12134.383384707266</v>
      </c>
      <c r="F33" s="8">
        <f>J4+J16</f>
        <v>2213.5662536661944</v>
      </c>
      <c r="G33" s="13">
        <f>E33/F33</f>
        <v>5.4818252512703554</v>
      </c>
    </row>
    <row r="34" spans="1:7" x14ac:dyDescent="0.45">
      <c r="A34" s="15" t="s">
        <v>20</v>
      </c>
      <c r="B34" s="8">
        <f>(D5+D17)/(C5+C17)/0.16*3.6*1000</f>
        <v>6347.5902123279757</v>
      </c>
      <c r="C34" s="8">
        <f>(H5+H17)/(G5+G17)/0.16*3.6*1000</f>
        <v>6302.0164854799496</v>
      </c>
      <c r="D34" s="23">
        <f t="shared" si="5"/>
        <v>7.2316102239702307E-3</v>
      </c>
      <c r="E34" s="8">
        <f>F5+F17</f>
        <v>9450.5431578480111</v>
      </c>
      <c r="F34" s="8">
        <f>J5+J17</f>
        <v>2213.5662536661944</v>
      </c>
      <c r="G34" s="13">
        <f>E34/F34</f>
        <v>4.2693744278923909</v>
      </c>
    </row>
    <row r="35" spans="1:7" x14ac:dyDescent="0.45">
      <c r="A35" s="15" t="s">
        <v>25</v>
      </c>
      <c r="B35" s="8">
        <f>(D6+D18)/(C6+C18)/0.16*3.6*1000</f>
        <v>5970.4682157560928</v>
      </c>
      <c r="C35" s="8">
        <f>(H6+H18)/(G6+G18)/0.16*3.6*1000</f>
        <v>6317.8171232708528</v>
      </c>
      <c r="D35" s="23">
        <f t="shared" si="5"/>
        <v>-5.4979259566622418E-2</v>
      </c>
      <c r="E35" s="8">
        <f>F6+F18</f>
        <v>6834.7588439173305</v>
      </c>
      <c r="F35" s="8">
        <f>J6+J18</f>
        <v>2192.5870353392634</v>
      </c>
      <c r="G35" s="13">
        <f>E35/F35</f>
        <v>3.1172121032175011</v>
      </c>
    </row>
    <row r="36" spans="1:7" x14ac:dyDescent="0.45">
      <c r="A36" s="15" t="s">
        <v>21</v>
      </c>
      <c r="B36" s="8">
        <f>(D7+D19)/(C7+C19)/0.16*3.6*1000</f>
        <v>5916.9919538690883</v>
      </c>
      <c r="C36" s="8">
        <f>(H7+H19)/(G7+G19)/0.16*3.6*1000</f>
        <v>6302.0164854799496</v>
      </c>
      <c r="D36" s="23">
        <f t="shared" si="5"/>
        <v>-6.1095449765637744E-2</v>
      </c>
      <c r="E36" s="8">
        <f>F7+F19</f>
        <v>5226.5735879918193</v>
      </c>
      <c r="F36" s="8">
        <f>J7+J19</f>
        <v>2213.5662536661944</v>
      </c>
      <c r="G36" s="13">
        <f>E36/F36</f>
        <v>2.3611552531284596</v>
      </c>
    </row>
    <row r="37" spans="1:7" x14ac:dyDescent="0.45">
      <c r="A37" s="15" t="s">
        <v>22</v>
      </c>
      <c r="B37" s="8">
        <f>(D8+D20)/(C8+C20)/0.16*3.6*1000</f>
        <v>5851.7388145201139</v>
      </c>
      <c r="C37" s="8">
        <f>(H8+H20)/(G8+G20)/0.16*3.6*1000</f>
        <v>6301.2071881035681</v>
      </c>
      <c r="D37" s="23">
        <f t="shared" si="5"/>
        <v>-7.1330518131832443E-2</v>
      </c>
      <c r="E37" s="8">
        <f>F8+F20</f>
        <v>5724.6806051626809</v>
      </c>
      <c r="F37" s="8">
        <f>J8+J20</f>
        <v>2211.3213254818993</v>
      </c>
      <c r="G37" s="13">
        <f>E37/F37</f>
        <v>2.5888054075158604</v>
      </c>
    </row>
    <row r="38" spans="1:7" x14ac:dyDescent="0.45">
      <c r="A38" s="15" t="s">
        <v>23</v>
      </c>
      <c r="B38" s="8">
        <f>(D9+D21)/(C9+C21)/0.16*3.6*1000</f>
        <v>5758.6653494755792</v>
      </c>
      <c r="C38" s="8">
        <f>(H9+H21)/(G9+G21)/0.16*3.6*1000</f>
        <v>6301.2071881035681</v>
      </c>
      <c r="D38" s="23">
        <f t="shared" si="5"/>
        <v>-8.6101253685529788E-2</v>
      </c>
      <c r="E38" s="8">
        <f>F9+F21</f>
        <v>5753.7184688778525</v>
      </c>
      <c r="F38" s="8">
        <f>J9+J21</f>
        <v>2211.3213254818993</v>
      </c>
      <c r="G38" s="13">
        <f>E38/F38</f>
        <v>2.6019368612673155</v>
      </c>
    </row>
    <row r="39" spans="1:7" x14ac:dyDescent="0.45">
      <c r="A39" s="15" t="s">
        <v>24</v>
      </c>
      <c r="B39" s="8">
        <f>(D10+D22)/(C10+C22)/0.16*3.6*1000</f>
        <v>5809.2171898092502</v>
      </c>
      <c r="C39" s="8">
        <f>(H10+H22)/(G10+G22)/0.16*3.6*1000</f>
        <v>6301.2071881035681</v>
      </c>
      <c r="D39" s="23">
        <f t="shared" si="5"/>
        <v>-7.8078689306261162E-2</v>
      </c>
      <c r="E39" s="8">
        <f>F10+F22</f>
        <v>4914.585742928869</v>
      </c>
      <c r="F39" s="8">
        <f>J10+J22</f>
        <v>2211.3213254818993</v>
      </c>
      <c r="G39" s="13">
        <f>E39/F39</f>
        <v>2.2224656752938716</v>
      </c>
    </row>
  </sheetData>
  <mergeCells count="3">
    <mergeCell ref="A29:F29"/>
    <mergeCell ref="A1:B1"/>
    <mergeCell ref="A13:B13"/>
  </mergeCells>
  <phoneticPr fontId="1" type="noConversion"/>
  <conditionalFormatting sqref="L2:L1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{3D2E4A81-DC7D-4722-9F20-EDF0663A84EF}</x14:id>
        </ext>
      </extLst>
    </cfRule>
  </conditionalFormatting>
  <conditionalFormatting sqref="L14:L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{92C1F4CF-B51B-46CD-88F8-3CC6626B7753}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2E4A81-DC7D-4722-9F20-EDF0663A8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L2:L10</xm:sqref>
        </x14:conditionalFormatting>
        <x14:conditionalFormatting xmlns:xm="http://schemas.microsoft.com/office/excel/2006/main">
          <x14:cfRule type="dataBar" id="{92C1F4CF-B51B-46CD-88F8-3CC6626B7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L14:L22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AA1C-A303-4BF4-B7CF-30022CC769E5}">
  <dimension ref="A1:W184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F3" sqref="F3:W3"/>
    </sheetView>
  </sheetViews>
  <sheetFormatPr defaultRowHeight="14" x14ac:dyDescent="0.3"/>
  <cols>
    <col min="1" max="1" width="13.58203125" customWidth="1"/>
  </cols>
  <sheetData>
    <row r="1" spans="1:23" ht="29.5" customHeight="1" x14ac:dyDescent="0.3">
      <c r="F1" s="64" t="s">
        <v>17</v>
      </c>
      <c r="G1" s="64"/>
      <c r="H1" s="64" t="s">
        <v>18</v>
      </c>
      <c r="I1" s="64"/>
      <c r="J1" s="64" t="s">
        <v>19</v>
      </c>
      <c r="K1" s="64"/>
      <c r="L1" s="64" t="s">
        <v>20</v>
      </c>
      <c r="M1" s="64"/>
      <c r="N1" s="64" t="s">
        <v>25</v>
      </c>
      <c r="O1" s="64"/>
      <c r="P1" s="64" t="s">
        <v>21</v>
      </c>
      <c r="Q1" s="64"/>
      <c r="R1" s="64" t="s">
        <v>22</v>
      </c>
      <c r="S1" s="64"/>
      <c r="T1" s="64" t="s">
        <v>23</v>
      </c>
      <c r="U1" s="64"/>
      <c r="V1" s="64" t="s">
        <v>24</v>
      </c>
      <c r="W1" s="64"/>
    </row>
    <row r="2" spans="1:23" ht="36.5" customHeight="1" x14ac:dyDescent="0.3">
      <c r="F2" s="24" t="s">
        <v>46</v>
      </c>
      <c r="G2" s="24"/>
      <c r="H2" s="24" t="s">
        <v>47</v>
      </c>
      <c r="I2" s="24"/>
      <c r="J2" s="24" t="s">
        <v>48</v>
      </c>
      <c r="K2" s="24"/>
      <c r="L2" s="24" t="s">
        <v>49</v>
      </c>
      <c r="M2" s="24"/>
      <c r="N2" s="24" t="s">
        <v>238</v>
      </c>
      <c r="O2" s="24"/>
      <c r="P2" s="24" t="s">
        <v>50</v>
      </c>
      <c r="Q2" s="24"/>
      <c r="R2" s="24" t="s">
        <v>51</v>
      </c>
      <c r="S2" s="24"/>
      <c r="T2" s="24" t="s">
        <v>52</v>
      </c>
      <c r="U2" s="24"/>
      <c r="V2" s="24" t="s">
        <v>235</v>
      </c>
      <c r="W2" s="24"/>
    </row>
    <row r="3" spans="1:23" s="2" customFormat="1" ht="56" x14ac:dyDescent="0.3">
      <c r="A3" s="3" t="s">
        <v>233</v>
      </c>
      <c r="B3" s="16" t="s">
        <v>2</v>
      </c>
      <c r="C3" s="16" t="s">
        <v>241</v>
      </c>
      <c r="D3" s="16" t="s">
        <v>4</v>
      </c>
      <c r="E3" s="16" t="s">
        <v>253</v>
      </c>
      <c r="F3" s="3" t="s">
        <v>252</v>
      </c>
      <c r="G3" s="3" t="s">
        <v>239</v>
      </c>
      <c r="H3" s="3" t="s">
        <v>252</v>
      </c>
      <c r="I3" s="3" t="s">
        <v>239</v>
      </c>
      <c r="J3" s="3" t="s">
        <v>252</v>
      </c>
      <c r="K3" s="3" t="s">
        <v>239</v>
      </c>
      <c r="L3" s="3" t="s">
        <v>252</v>
      </c>
      <c r="M3" s="3" t="s">
        <v>239</v>
      </c>
      <c r="N3" s="3" t="s">
        <v>252</v>
      </c>
      <c r="O3" s="3" t="s">
        <v>239</v>
      </c>
      <c r="P3" s="3" t="s">
        <v>252</v>
      </c>
      <c r="Q3" s="3" t="s">
        <v>239</v>
      </c>
      <c r="R3" s="3" t="s">
        <v>252</v>
      </c>
      <c r="S3" s="3" t="s">
        <v>239</v>
      </c>
      <c r="T3" s="3" t="s">
        <v>252</v>
      </c>
      <c r="U3" s="3" t="s">
        <v>239</v>
      </c>
      <c r="V3" s="3" t="s">
        <v>252</v>
      </c>
      <c r="W3" s="3" t="s">
        <v>239</v>
      </c>
    </row>
    <row r="4" spans="1:23" x14ac:dyDescent="0.3">
      <c r="A4" t="s">
        <v>53</v>
      </c>
      <c r="B4">
        <v>706140.12453928997</v>
      </c>
      <c r="C4" s="20">
        <v>0.14122802490785799</v>
      </c>
      <c r="D4">
        <v>248913.27192043199</v>
      </c>
      <c r="E4" s="18">
        <v>7931.2142499531656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x14ac:dyDescent="0.3">
      <c r="A5" t="s">
        <v>54</v>
      </c>
      <c r="B5">
        <v>534303.56760880002</v>
      </c>
      <c r="C5" s="5">
        <v>0.10686071352176001</v>
      </c>
      <c r="D5">
        <v>140145.332589798</v>
      </c>
      <c r="E5" s="18">
        <v>5901.6450093763515</v>
      </c>
      <c r="F5" s="4">
        <v>0.91156340486759002</v>
      </c>
      <c r="G5" s="4">
        <v>5887.9377673912732</v>
      </c>
      <c r="H5" s="4">
        <v>0.16054492589652999</v>
      </c>
      <c r="I5" s="4">
        <v>5863.4328160852774</v>
      </c>
      <c r="J5" s="4">
        <v>3.4340888930701596</v>
      </c>
      <c r="K5" s="4">
        <v>5900.6917499692127</v>
      </c>
      <c r="L5" s="4">
        <v>0.39894795657287596</v>
      </c>
      <c r="M5" s="4">
        <v>5896.745576673884</v>
      </c>
      <c r="N5" s="4">
        <v>3.4340888930701596</v>
      </c>
      <c r="O5" s="4">
        <v>5900.6917499692127</v>
      </c>
      <c r="P5" s="4">
        <v>1.0953210522236618</v>
      </c>
      <c r="Q5" s="4">
        <v>5944.7682184782398</v>
      </c>
      <c r="R5" s="4">
        <v>0.91156340486759002</v>
      </c>
      <c r="S5" s="4">
        <v>5887.9377673912732</v>
      </c>
      <c r="T5" s="4">
        <v>0.66296114558464003</v>
      </c>
      <c r="U5" s="4">
        <v>5899.2184161644764</v>
      </c>
      <c r="V5" s="4">
        <v>3.4292479513172403</v>
      </c>
      <c r="W5" s="4">
        <v>0</v>
      </c>
    </row>
    <row r="6" spans="1:23" x14ac:dyDescent="0.3">
      <c r="A6" t="s">
        <v>55</v>
      </c>
      <c r="B6">
        <v>7365762.0398615003</v>
      </c>
      <c r="C6" s="5">
        <v>1.4731524079723</v>
      </c>
      <c r="D6">
        <v>2478187.5007475498</v>
      </c>
      <c r="E6" s="18">
        <v>7570.0543222909109</v>
      </c>
      <c r="F6" s="4">
        <v>27.5712249528796</v>
      </c>
      <c r="G6" s="4">
        <v>7803.8154042019851</v>
      </c>
      <c r="H6" s="4">
        <v>26.426395741865001</v>
      </c>
      <c r="I6" s="4">
        <v>8141.8878344858767</v>
      </c>
      <c r="J6" s="4">
        <v>27.2589478693552</v>
      </c>
      <c r="K6" s="4">
        <v>7893.2155060132009</v>
      </c>
      <c r="L6" s="4">
        <v>26.836955928739602</v>
      </c>
      <c r="M6" s="4">
        <v>8017.3306753313691</v>
      </c>
      <c r="N6" s="4">
        <v>25.4283979030048</v>
      </c>
      <c r="O6" s="4">
        <v>8461.4355501560985</v>
      </c>
      <c r="P6" s="4">
        <v>9.5298337168754212</v>
      </c>
      <c r="Q6" s="4">
        <v>8159.3698170049274</v>
      </c>
      <c r="R6" s="4">
        <v>26.145083115740199</v>
      </c>
      <c r="S6" s="4">
        <v>8229.4919104872024</v>
      </c>
      <c r="T6" s="4">
        <v>26.520283846145801</v>
      </c>
      <c r="U6" s="4">
        <v>8113.0636175777354</v>
      </c>
      <c r="V6" s="4">
        <v>26.097940405230798</v>
      </c>
      <c r="W6" s="4">
        <v>0</v>
      </c>
    </row>
    <row r="7" spans="1:23" x14ac:dyDescent="0.3">
      <c r="A7" t="s">
        <v>56</v>
      </c>
      <c r="B7">
        <v>0</v>
      </c>
      <c r="C7" s="5">
        <v>0</v>
      </c>
      <c r="D7">
        <v>0</v>
      </c>
      <c r="E7" s="18" t="e">
        <v>#DIV/0!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 t="e">
        <v>#N/A</v>
      </c>
      <c r="O7" s="4" t="e">
        <v>#N/A</v>
      </c>
      <c r="P7" s="4" t="e">
        <v>#N/A</v>
      </c>
      <c r="Q7" s="4" t="e">
        <v>#N/A</v>
      </c>
      <c r="R7" s="4" t="e">
        <v>#N/A</v>
      </c>
      <c r="S7" s="4" t="e">
        <v>#N/A</v>
      </c>
      <c r="T7" s="4" t="e">
        <v>#N/A</v>
      </c>
      <c r="U7" s="4" t="e">
        <v>#N/A</v>
      </c>
      <c r="V7" s="4" t="e">
        <v>#N/A</v>
      </c>
      <c r="W7" s="4" t="e">
        <v>#N/A</v>
      </c>
    </row>
    <row r="8" spans="1:23" x14ac:dyDescent="0.3">
      <c r="A8" t="s">
        <v>57</v>
      </c>
      <c r="B8">
        <v>18013.8612555</v>
      </c>
      <c r="C8" s="5">
        <v>3.6027722510999999E-3</v>
      </c>
      <c r="D8">
        <v>6142.8508012276998</v>
      </c>
      <c r="E8" s="18">
        <v>7672.6550219999972</v>
      </c>
      <c r="F8" s="4">
        <v>4.7129894538015407</v>
      </c>
      <c r="G8" s="4">
        <v>7495.7201466904871</v>
      </c>
      <c r="H8" s="4">
        <v>4.7014560469849602</v>
      </c>
      <c r="I8" s="4">
        <v>7514.1083202628961</v>
      </c>
      <c r="J8" s="4">
        <v>4.6883114073254397</v>
      </c>
      <c r="K8" s="4">
        <v>7535.1756593645805</v>
      </c>
      <c r="L8" s="4">
        <v>4.69400373865086</v>
      </c>
      <c r="M8" s="4">
        <v>7526.0378915151177</v>
      </c>
      <c r="N8" s="4">
        <v>4.5473148131175201</v>
      </c>
      <c r="O8" s="4">
        <v>7768.8155432063795</v>
      </c>
      <c r="P8" s="4">
        <v>4.4898773236700801E-3</v>
      </c>
      <c r="Q8" s="4">
        <v>7522.5875267910769</v>
      </c>
      <c r="R8" s="4">
        <v>4.6116073017829597</v>
      </c>
      <c r="S8" s="4">
        <v>7660.5069964091754</v>
      </c>
      <c r="T8" s="4">
        <v>4.6116073017829597</v>
      </c>
      <c r="U8" s="4">
        <v>7660.5069964091754</v>
      </c>
      <c r="V8" s="4">
        <v>0.73536384184215198</v>
      </c>
      <c r="W8" s="4">
        <v>0</v>
      </c>
    </row>
    <row r="9" spans="1:23" x14ac:dyDescent="0.3">
      <c r="A9" t="s">
        <v>58</v>
      </c>
      <c r="B9">
        <v>33135139.033039302</v>
      </c>
      <c r="C9" s="5">
        <v>6.6270278066078605</v>
      </c>
      <c r="D9">
        <v>13057425.570840601</v>
      </c>
      <c r="E9" s="18">
        <v>8866.4808392978593</v>
      </c>
      <c r="F9" s="4">
        <v>47.260481205095395</v>
      </c>
      <c r="G9" s="4">
        <v>7035.6298015042357</v>
      </c>
      <c r="H9" s="4">
        <v>46.781563250624004</v>
      </c>
      <c r="I9" s="4">
        <v>7107.6558134376764</v>
      </c>
      <c r="J9" s="4">
        <v>49.782733808769201</v>
      </c>
      <c r="K9" s="4">
        <v>6679.1681484842247</v>
      </c>
      <c r="L9" s="4">
        <v>48.490420204594201</v>
      </c>
      <c r="M9" s="4">
        <v>6857.1740273039895</v>
      </c>
      <c r="N9" s="4">
        <v>46.781563250624004</v>
      </c>
      <c r="O9" s="4">
        <v>7107.6558134376764</v>
      </c>
      <c r="P9" s="4">
        <v>48.096158179088995</v>
      </c>
      <c r="Q9" s="4">
        <v>6913.3848230016383</v>
      </c>
      <c r="R9" s="4">
        <v>46.781563250624004</v>
      </c>
      <c r="S9" s="4">
        <v>7107.6558134376764</v>
      </c>
      <c r="T9" s="4">
        <v>36.639645046555195</v>
      </c>
      <c r="U9" s="4">
        <v>9075.0674461367853</v>
      </c>
      <c r="V9" s="4">
        <v>48.096158179088995</v>
      </c>
      <c r="W9" s="4">
        <v>0</v>
      </c>
    </row>
    <row r="10" spans="1:23" x14ac:dyDescent="0.3">
      <c r="A10" t="s">
        <v>59</v>
      </c>
      <c r="B10">
        <v>1105502.8590358701</v>
      </c>
      <c r="C10" s="20">
        <v>0.22110057180717402</v>
      </c>
      <c r="D10">
        <v>304655.71457312501</v>
      </c>
      <c r="E10" s="18">
        <v>6200.5751698131944</v>
      </c>
      <c r="F10" s="4">
        <v>1.118312387806202</v>
      </c>
      <c r="G10" s="4">
        <v>6399.6661474054408</v>
      </c>
      <c r="H10" s="4">
        <v>1.8546166760273799</v>
      </c>
      <c r="I10" s="4">
        <v>5784.4159846210569</v>
      </c>
      <c r="J10" s="4">
        <v>3.3053374410879401</v>
      </c>
      <c r="K10" s="4">
        <v>5994.395535445984</v>
      </c>
      <c r="L10" s="4">
        <v>1.852509424141892</v>
      </c>
      <c r="M10" s="4">
        <v>6317.7311144861987</v>
      </c>
      <c r="N10" s="4">
        <v>1.118312387806202</v>
      </c>
      <c r="O10" s="4">
        <v>6399.6661474054408</v>
      </c>
      <c r="P10" s="4">
        <v>0.76152415840201204</v>
      </c>
      <c r="Q10" s="4">
        <v>6243.3853608453219</v>
      </c>
      <c r="R10" s="4">
        <v>1.118312387806202</v>
      </c>
      <c r="S10" s="4">
        <v>6399.6661474054408</v>
      </c>
      <c r="T10" s="4">
        <v>0.76152415840201204</v>
      </c>
      <c r="U10" s="4">
        <v>6243.3853608453219</v>
      </c>
      <c r="V10" s="4">
        <v>1.859852948066856</v>
      </c>
      <c r="W10" s="4">
        <v>0</v>
      </c>
    </row>
    <row r="11" spans="1:23" x14ac:dyDescent="0.3">
      <c r="A11" t="s">
        <v>60</v>
      </c>
      <c r="B11">
        <v>193386690.782722</v>
      </c>
      <c r="C11" s="5">
        <v>38.677338156544401</v>
      </c>
      <c r="D11">
        <v>57514781.789435297</v>
      </c>
      <c r="E11" s="18">
        <v>6691.683822834787</v>
      </c>
      <c r="F11" s="4">
        <v>81.785705000614399</v>
      </c>
      <c r="G11" s="4">
        <v>7526.4100247760371</v>
      </c>
      <c r="H11" s="4">
        <v>78.16939232118699</v>
      </c>
      <c r="I11" s="4">
        <v>7874.600680926118</v>
      </c>
      <c r="J11" s="4">
        <v>82.642544658970408</v>
      </c>
      <c r="K11" s="4">
        <v>7448.3760457778344</v>
      </c>
      <c r="L11" s="4">
        <v>81.376472002838398</v>
      </c>
      <c r="M11" s="4">
        <v>7564.2594825016449</v>
      </c>
      <c r="N11" s="4">
        <v>70.980082596239598</v>
      </c>
      <c r="O11" s="4">
        <v>6688.0483564623419</v>
      </c>
      <c r="P11" s="4">
        <v>70.980082596239598</v>
      </c>
      <c r="Q11" s="4">
        <v>6688.0483564623419</v>
      </c>
      <c r="R11" s="4">
        <v>78.16939232118699</v>
      </c>
      <c r="S11" s="4">
        <v>7874.600680926118</v>
      </c>
      <c r="T11" s="4">
        <v>79.603476763970605</v>
      </c>
      <c r="U11" s="4">
        <v>7732.7369987262391</v>
      </c>
      <c r="V11" s="4">
        <v>70.980082596239598</v>
      </c>
      <c r="W11" s="4">
        <v>0</v>
      </c>
    </row>
    <row r="12" spans="1:23" x14ac:dyDescent="0.3">
      <c r="A12" t="s">
        <v>61</v>
      </c>
      <c r="B12">
        <v>2512507.2942254799</v>
      </c>
      <c r="C12" s="5">
        <v>0.50250145884509601</v>
      </c>
      <c r="D12">
        <v>509185.42865835602</v>
      </c>
      <c r="E12" s="18">
        <v>4559.8562723157029</v>
      </c>
      <c r="F12" s="4">
        <v>0.98472277149241605</v>
      </c>
      <c r="G12" s="4">
        <v>4562.7718095019318</v>
      </c>
      <c r="H12" s="4">
        <v>1.4614854834155462</v>
      </c>
      <c r="I12" s="4">
        <v>4576.3882065753887</v>
      </c>
      <c r="J12" s="4">
        <v>34.616288095543801</v>
      </c>
      <c r="K12" s="4">
        <v>4589.4652124891345</v>
      </c>
      <c r="L12" s="4">
        <v>1.18353276444828</v>
      </c>
      <c r="M12" s="4">
        <v>4540.7298769680365</v>
      </c>
      <c r="N12" s="4">
        <v>34.616288095543801</v>
      </c>
      <c r="O12" s="4">
        <v>4589.4652124891345</v>
      </c>
      <c r="P12" s="4">
        <v>34.616288095543801</v>
      </c>
      <c r="Q12" s="4">
        <v>4589.4652124891345</v>
      </c>
      <c r="R12" s="4">
        <v>15.208465809783899</v>
      </c>
      <c r="S12" s="4">
        <v>4547.0079173901968</v>
      </c>
      <c r="T12" s="4">
        <v>15.208465809783899</v>
      </c>
      <c r="U12" s="4">
        <v>4547.0079173901968</v>
      </c>
      <c r="V12" s="4">
        <v>34.616288095543801</v>
      </c>
      <c r="W12" s="4">
        <v>0</v>
      </c>
    </row>
    <row r="13" spans="1:23" x14ac:dyDescent="0.3">
      <c r="A13" t="s">
        <v>62</v>
      </c>
      <c r="B13">
        <v>456008.2295355</v>
      </c>
      <c r="C13" s="5">
        <v>9.1201645907100004E-2</v>
      </c>
      <c r="D13">
        <v>128700.730723125</v>
      </c>
      <c r="E13" s="18">
        <v>6350.2503983754941</v>
      </c>
      <c r="F13" s="4">
        <v>5.0339062484699006</v>
      </c>
      <c r="G13" s="4">
        <v>5711.4960386296398</v>
      </c>
      <c r="H13" s="4">
        <v>9.1899256588792611</v>
      </c>
      <c r="I13" s="4">
        <v>5819.8299858599894</v>
      </c>
      <c r="J13" s="4">
        <v>11.558815669583201</v>
      </c>
      <c r="K13" s="4">
        <v>5704.6069324832206</v>
      </c>
      <c r="L13" s="4">
        <v>3.9055941216724404</v>
      </c>
      <c r="M13" s="4">
        <v>5780.9905684874211</v>
      </c>
      <c r="N13" s="4">
        <v>5.0339062484699006</v>
      </c>
      <c r="O13" s="4">
        <v>5711.4960386296398</v>
      </c>
      <c r="P13" s="4">
        <v>2.4526290116924598</v>
      </c>
      <c r="Q13" s="4">
        <v>5795.4437967384956</v>
      </c>
      <c r="R13" s="4">
        <v>5.0339062484699006</v>
      </c>
      <c r="S13" s="4">
        <v>5711.4960386296398</v>
      </c>
      <c r="T13" s="4">
        <v>2.4526290116924598</v>
      </c>
      <c r="U13" s="4">
        <v>5795.4437967384956</v>
      </c>
      <c r="V13" s="4">
        <v>11.4175472405921</v>
      </c>
      <c r="W13" s="4">
        <v>0</v>
      </c>
    </row>
    <row r="14" spans="1:23" x14ac:dyDescent="0.3">
      <c r="A14" t="s">
        <v>64</v>
      </c>
      <c r="B14">
        <v>0</v>
      </c>
      <c r="C14" s="5">
        <v>0</v>
      </c>
      <c r="D14">
        <v>0</v>
      </c>
      <c r="E14" s="18" t="e">
        <v>#DIV/0!</v>
      </c>
      <c r="F14" s="4">
        <v>5.2557142742977001E-2</v>
      </c>
      <c r="G14" s="4">
        <v>7859.9049030000169</v>
      </c>
      <c r="H14" s="4">
        <v>3.2948244305476999E-2</v>
      </c>
      <c r="I14" s="4">
        <v>7859.9049030000224</v>
      </c>
      <c r="J14" s="4">
        <v>0.939915100555476</v>
      </c>
      <c r="K14" s="4">
        <v>7859.9049029999851</v>
      </c>
      <c r="L14" s="4">
        <v>4.4676303036403596E-2</v>
      </c>
      <c r="M14" s="4">
        <v>7859.9049030000015</v>
      </c>
      <c r="N14" s="4" t="e">
        <v>#N/A</v>
      </c>
      <c r="O14" s="4" t="e">
        <v>#N/A</v>
      </c>
      <c r="P14" s="4" t="e">
        <v>#N/A</v>
      </c>
      <c r="Q14" s="4" t="e">
        <v>#N/A</v>
      </c>
      <c r="R14" s="4" t="e">
        <v>#N/A</v>
      </c>
      <c r="S14" s="4" t="e">
        <v>#N/A</v>
      </c>
      <c r="T14" s="4" t="e">
        <v>#N/A</v>
      </c>
      <c r="U14" s="4" t="e">
        <v>#N/A</v>
      </c>
      <c r="V14" s="4" t="e">
        <v>#N/A</v>
      </c>
      <c r="W14" s="4" t="e">
        <v>#N/A</v>
      </c>
    </row>
    <row r="15" spans="1:23" x14ac:dyDescent="0.3">
      <c r="A15" t="s">
        <v>63</v>
      </c>
      <c r="B15">
        <v>792447.01550296997</v>
      </c>
      <c r="C15" s="5">
        <v>0.15848940310059401</v>
      </c>
      <c r="D15">
        <v>214111.44421564401</v>
      </c>
      <c r="E15" s="18">
        <v>6079.2802554683039</v>
      </c>
      <c r="F15" s="4">
        <v>11.38009944632244</v>
      </c>
      <c r="G15" s="4">
        <v>5981.7827772971368</v>
      </c>
      <c r="H15" s="4">
        <v>37.9149058468616</v>
      </c>
      <c r="I15" s="4">
        <v>5989.4122094674067</v>
      </c>
      <c r="J15" s="4">
        <v>37.516453787415998</v>
      </c>
      <c r="K15" s="4">
        <v>6053.0241287403032</v>
      </c>
      <c r="L15" s="4">
        <v>37.945778522702994</v>
      </c>
      <c r="M15" s="4">
        <v>5984.5392252034835</v>
      </c>
      <c r="N15" s="4">
        <v>11.38009944632244</v>
      </c>
      <c r="O15" s="4">
        <v>5981.7827772971368</v>
      </c>
      <c r="P15" s="4">
        <v>2.3371475310588399</v>
      </c>
      <c r="Q15" s="4">
        <v>6101.4452098246238</v>
      </c>
      <c r="R15" s="4">
        <v>2.3371475310588399</v>
      </c>
      <c r="S15" s="4">
        <v>6101.4452098246238</v>
      </c>
      <c r="T15" s="4">
        <v>2.3371475310588399</v>
      </c>
      <c r="U15" s="4">
        <v>6101.4452098246238</v>
      </c>
      <c r="V15" s="4">
        <v>37.628782018383404</v>
      </c>
      <c r="W15" s="4">
        <v>0</v>
      </c>
    </row>
    <row r="16" spans="1:23" x14ac:dyDescent="0.3">
      <c r="A16" t="s">
        <v>65</v>
      </c>
      <c r="B16">
        <v>5563234.0069593703</v>
      </c>
      <c r="C16" s="20">
        <v>1.112646801391874</v>
      </c>
      <c r="D16">
        <v>967230.66802290105</v>
      </c>
      <c r="E16" s="18">
        <v>3911.877516439371</v>
      </c>
      <c r="F16" s="4">
        <v>0.95636015135063812</v>
      </c>
      <c r="G16" s="4">
        <v>3889.9594546039584</v>
      </c>
      <c r="H16" s="4">
        <v>1.193429654133368</v>
      </c>
      <c r="I16" s="4">
        <v>3913.4621285022131</v>
      </c>
      <c r="J16" s="4">
        <v>24.718232681832998</v>
      </c>
      <c r="K16" s="4">
        <v>3796.6003155627232</v>
      </c>
      <c r="L16" s="4">
        <v>2.0567681356853003</v>
      </c>
      <c r="M16" s="4">
        <v>3903.3346247632812</v>
      </c>
      <c r="N16" s="4">
        <v>24.718232681832998</v>
      </c>
      <c r="O16" s="4">
        <v>3796.6003155627232</v>
      </c>
      <c r="P16" s="4">
        <v>15.945557056512561</v>
      </c>
      <c r="Q16" s="4">
        <v>3818.9023687017261</v>
      </c>
      <c r="R16" s="4">
        <v>0.95636015135063812</v>
      </c>
      <c r="S16" s="4">
        <v>3889.9594546039584</v>
      </c>
      <c r="T16" s="4">
        <v>15.945557056512561</v>
      </c>
      <c r="U16" s="4">
        <v>3818.9023687017261</v>
      </c>
      <c r="V16" s="4">
        <v>15.945557056512561</v>
      </c>
      <c r="W16" s="4">
        <v>0</v>
      </c>
    </row>
    <row r="17" spans="1:23" x14ac:dyDescent="0.3">
      <c r="A17" t="s">
        <v>66</v>
      </c>
      <c r="B17">
        <v>10368844.292492</v>
      </c>
      <c r="C17" s="5">
        <v>2.0737688584984002</v>
      </c>
      <c r="D17">
        <v>1918384.8340230701</v>
      </c>
      <c r="E17" s="18">
        <v>4162.8225429880886</v>
      </c>
      <c r="F17" s="4">
        <v>2.8721488544113001</v>
      </c>
      <c r="G17" s="4">
        <v>4176.1205584611289</v>
      </c>
      <c r="H17" s="4">
        <v>3.4349539695756399</v>
      </c>
      <c r="I17" s="4">
        <v>4171.8922146022387</v>
      </c>
      <c r="J17" s="4">
        <v>8.6190092063915991</v>
      </c>
      <c r="K17" s="4">
        <v>4227.9096006526797</v>
      </c>
      <c r="L17" s="4">
        <v>2.41659528211592</v>
      </c>
      <c r="M17" s="4">
        <v>4162.0250355771459</v>
      </c>
      <c r="N17" s="4">
        <v>8.6190092063915991</v>
      </c>
      <c r="O17" s="4">
        <v>4227.9096006526797</v>
      </c>
      <c r="P17" s="4">
        <v>8.6190092063915991</v>
      </c>
      <c r="Q17" s="4">
        <v>4227.9096006526797</v>
      </c>
      <c r="R17" s="4">
        <v>8.6190092063915991</v>
      </c>
      <c r="S17" s="4">
        <v>4227.9096006526797</v>
      </c>
      <c r="T17" s="4">
        <v>8.6190092063915991</v>
      </c>
      <c r="U17" s="4">
        <v>4227.9096006526797</v>
      </c>
      <c r="V17" s="4">
        <v>8.6190092063915991</v>
      </c>
      <c r="W17" s="4">
        <v>0</v>
      </c>
    </row>
    <row r="18" spans="1:23" x14ac:dyDescent="0.3">
      <c r="A18" t="s">
        <v>67</v>
      </c>
      <c r="B18">
        <v>0</v>
      </c>
      <c r="C18" s="5">
        <v>0</v>
      </c>
      <c r="D18">
        <v>0</v>
      </c>
      <c r="E18" s="18" t="e">
        <v>#DIV/0!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e">
        <v>#N/A</v>
      </c>
      <c r="S18" s="4" t="e">
        <v>#N/A</v>
      </c>
      <c r="T18" s="4" t="e">
        <v>#N/A</v>
      </c>
      <c r="U18" s="4" t="e">
        <v>#N/A</v>
      </c>
      <c r="V18" s="4" t="e">
        <v>#N/A</v>
      </c>
      <c r="W18" s="4" t="e">
        <v>#N/A</v>
      </c>
    </row>
    <row r="19" spans="1:23" x14ac:dyDescent="0.3">
      <c r="A19" t="s">
        <v>69</v>
      </c>
      <c r="B19">
        <v>0</v>
      </c>
      <c r="C19" s="5">
        <v>0</v>
      </c>
      <c r="D19">
        <v>0</v>
      </c>
      <c r="E19" s="18" t="e">
        <v>#DIV/0!</v>
      </c>
      <c r="F19" s="4">
        <v>0.24052199946705199</v>
      </c>
      <c r="G19" s="4">
        <v>7324.693807234602</v>
      </c>
      <c r="H19" s="4">
        <v>0.236114178629972</v>
      </c>
      <c r="I19" s="4">
        <v>7461.4324739936046</v>
      </c>
      <c r="J19" s="4">
        <v>0.240358785996478</v>
      </c>
      <c r="K19" s="4">
        <v>7329.6675746474057</v>
      </c>
      <c r="L19" s="4">
        <v>0.24575860967537003</v>
      </c>
      <c r="M19" s="4">
        <v>7168.6196562030882</v>
      </c>
      <c r="N19" s="4">
        <v>0.23248915750896199</v>
      </c>
      <c r="O19" s="4">
        <v>7577.7727394968424</v>
      </c>
      <c r="P19" s="4">
        <v>0.26706753524348603</v>
      </c>
      <c r="Q19" s="4">
        <v>6596.646044581229</v>
      </c>
      <c r="R19" s="4" t="e">
        <v>#N/A</v>
      </c>
      <c r="S19" s="4" t="e">
        <v>#N/A</v>
      </c>
      <c r="T19" s="4" t="e">
        <v>#N/A</v>
      </c>
      <c r="U19" s="4" t="e">
        <v>#N/A</v>
      </c>
      <c r="V19" s="4" t="e">
        <v>#N/A</v>
      </c>
      <c r="W19" s="4" t="e">
        <v>#N/A</v>
      </c>
    </row>
    <row r="20" spans="1:23" x14ac:dyDescent="0.3">
      <c r="A20" t="s">
        <v>73</v>
      </c>
      <c r="B20">
        <v>0</v>
      </c>
      <c r="C20" s="5">
        <v>0</v>
      </c>
      <c r="D20">
        <v>0</v>
      </c>
      <c r="E20" s="18" t="e">
        <v>#DIV/0!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 t="e">
        <v>#N/A</v>
      </c>
      <c r="O20" s="4" t="e">
        <v>#N/A</v>
      </c>
      <c r="P20" s="4" t="e">
        <v>#N/A</v>
      </c>
      <c r="Q20" s="4" t="e">
        <v>#N/A</v>
      </c>
      <c r="R20" s="4" t="e">
        <v>#N/A</v>
      </c>
      <c r="S20" s="4" t="e">
        <v>#N/A</v>
      </c>
      <c r="T20" s="4" t="e">
        <v>#N/A</v>
      </c>
      <c r="U20" s="4" t="e">
        <v>#N/A</v>
      </c>
      <c r="V20" s="4" t="e">
        <v>#N/A</v>
      </c>
      <c r="W20" s="4" t="e">
        <v>#N/A</v>
      </c>
    </row>
    <row r="21" spans="1:23" x14ac:dyDescent="0.3">
      <c r="A21" t="s">
        <v>68</v>
      </c>
      <c r="B21">
        <v>1696471.6741216399</v>
      </c>
      <c r="C21" s="5">
        <v>0.33929433482432797</v>
      </c>
      <c r="D21">
        <v>698404.37764843705</v>
      </c>
      <c r="E21" s="18">
        <v>9262.8121864904806</v>
      </c>
      <c r="F21" s="4">
        <v>3.8435351615516202</v>
      </c>
      <c r="G21" s="4">
        <v>7007.8063209721095</v>
      </c>
      <c r="H21" s="4">
        <v>3.8522755903877401</v>
      </c>
      <c r="I21" s="4">
        <v>6991.9063078477629</v>
      </c>
      <c r="J21" s="4">
        <v>3.8507838015415996</v>
      </c>
      <c r="K21" s="4">
        <v>6994.6149636385981</v>
      </c>
      <c r="L21" s="4">
        <v>3.24283001081682</v>
      </c>
      <c r="M21" s="4">
        <v>8305.9395374275391</v>
      </c>
      <c r="N21" s="4">
        <v>3.8522755903877401</v>
      </c>
      <c r="O21" s="4">
        <v>6991.9063078477629</v>
      </c>
      <c r="P21" s="4">
        <v>3.9363525889112396</v>
      </c>
      <c r="Q21" s="4">
        <v>6842.5653931193983</v>
      </c>
      <c r="R21" s="4">
        <v>3.7533710341117597</v>
      </c>
      <c r="S21" s="4">
        <v>7176.1490551317411</v>
      </c>
      <c r="T21" s="4">
        <v>3.7533710341117597</v>
      </c>
      <c r="U21" s="4">
        <v>7176.1490551317411</v>
      </c>
      <c r="V21" s="4">
        <v>3.9363525889112396</v>
      </c>
      <c r="W21" s="4">
        <v>0</v>
      </c>
    </row>
    <row r="22" spans="1:23" x14ac:dyDescent="0.3">
      <c r="A22" t="s">
        <v>70</v>
      </c>
      <c r="B22">
        <v>821081.94322128</v>
      </c>
      <c r="C22" s="20">
        <v>0.164216388644256</v>
      </c>
      <c r="D22">
        <v>202539.07347912801</v>
      </c>
      <c r="E22" s="18">
        <v>5550.1514689286532</v>
      </c>
      <c r="F22" s="4">
        <v>0.357200788407734</v>
      </c>
      <c r="G22" s="4">
        <v>5241.8704470562507</v>
      </c>
      <c r="H22" s="4">
        <v>0.70792090173025002</v>
      </c>
      <c r="I22" s="4">
        <v>5112.0688619110861</v>
      </c>
      <c r="J22" s="4">
        <v>7.6242639644316004</v>
      </c>
      <c r="K22" s="4">
        <v>5068.226937087793</v>
      </c>
      <c r="L22" s="4">
        <v>0.3995616127005</v>
      </c>
      <c r="M22" s="4">
        <v>5149.7909859308575</v>
      </c>
      <c r="N22" s="4">
        <v>7.6242639644316004</v>
      </c>
      <c r="O22" s="4">
        <v>5068.226937087793</v>
      </c>
      <c r="P22" s="4">
        <v>3.4813914516845599</v>
      </c>
      <c r="Q22" s="4">
        <v>5078.2938801924884</v>
      </c>
      <c r="R22" s="4">
        <v>0.357200788407734</v>
      </c>
      <c r="S22" s="4">
        <v>5241.8704470562507</v>
      </c>
      <c r="T22" s="4">
        <v>0.44597649712572007</v>
      </c>
      <c r="U22" s="4">
        <v>5070.3770154486228</v>
      </c>
      <c r="V22" s="4">
        <v>7.6150564434754191</v>
      </c>
      <c r="W22" s="4">
        <v>0</v>
      </c>
    </row>
    <row r="23" spans="1:23" x14ac:dyDescent="0.3">
      <c r="A23" t="s">
        <v>71</v>
      </c>
      <c r="B23">
        <v>1394452.7897194</v>
      </c>
      <c r="C23" s="5">
        <v>0.27889055794388001</v>
      </c>
      <c r="D23">
        <v>448611.56792637898</v>
      </c>
      <c r="E23" s="18">
        <v>7238.5098676410926</v>
      </c>
      <c r="F23" s="4">
        <v>0.95234677980329396</v>
      </c>
      <c r="G23" s="4">
        <v>7624.0610605095962</v>
      </c>
      <c r="H23" s="4">
        <v>0.92412742547792603</v>
      </c>
      <c r="I23" s="4">
        <v>7856.8710329584655</v>
      </c>
      <c r="J23" s="4">
        <v>0.92765630096379803</v>
      </c>
      <c r="K23" s="4">
        <v>7826.9828949109387</v>
      </c>
      <c r="L23" s="4">
        <v>0.91669311155854594</v>
      </c>
      <c r="M23" s="4">
        <v>7920.5896809406559</v>
      </c>
      <c r="N23" s="4">
        <v>0.92248345317774993</v>
      </c>
      <c r="O23" s="4">
        <v>7870.8728866499823</v>
      </c>
      <c r="P23" s="4">
        <v>0.92248345317774993</v>
      </c>
      <c r="Q23" s="4">
        <v>7870.8728866499823</v>
      </c>
      <c r="R23" s="4">
        <v>0.95234677980329396</v>
      </c>
      <c r="S23" s="4">
        <v>7624.0610605095962</v>
      </c>
      <c r="T23" s="4">
        <v>0.93585813168625198</v>
      </c>
      <c r="U23" s="4">
        <v>7758.3874672514767</v>
      </c>
      <c r="V23" s="4">
        <v>0.91619010559015801</v>
      </c>
      <c r="W23" s="4">
        <v>0</v>
      </c>
    </row>
    <row r="24" spans="1:23" x14ac:dyDescent="0.3">
      <c r="A24" t="s">
        <v>72</v>
      </c>
      <c r="B24">
        <v>146513517.99540299</v>
      </c>
      <c r="C24" s="5">
        <v>29.302703599080598</v>
      </c>
      <c r="D24">
        <v>48855851.730282798</v>
      </c>
      <c r="E24" s="18">
        <v>7502.7661540817908</v>
      </c>
      <c r="F24" s="4">
        <v>224.63887562039599</v>
      </c>
      <c r="G24" s="4">
        <v>7087.3351533791529</v>
      </c>
      <c r="H24" s="4">
        <v>224.38738820177599</v>
      </c>
      <c r="I24" s="4">
        <v>7095.278450178952</v>
      </c>
      <c r="J24" s="4">
        <v>227.39690231882</v>
      </c>
      <c r="K24" s="4">
        <v>7001.3750572900135</v>
      </c>
      <c r="L24" s="4">
        <v>228.28809088861399</v>
      </c>
      <c r="M24" s="4">
        <v>6974.0431653826863</v>
      </c>
      <c r="N24" s="4">
        <v>224.38738820177599</v>
      </c>
      <c r="O24" s="4">
        <v>7095.278450178952</v>
      </c>
      <c r="P24" s="4">
        <v>230.267179157756</v>
      </c>
      <c r="Q24" s="4">
        <v>6914.1030251178727</v>
      </c>
      <c r="R24" s="4">
        <v>224.63887562039599</v>
      </c>
      <c r="S24" s="4">
        <v>7087.3351533791529</v>
      </c>
      <c r="T24" s="4">
        <v>222.90188911472401</v>
      </c>
      <c r="U24" s="4">
        <v>7142.563960866999</v>
      </c>
      <c r="V24" s="4">
        <v>52.400754794892002</v>
      </c>
      <c r="W24" s="4">
        <v>0</v>
      </c>
    </row>
    <row r="25" spans="1:23" x14ac:dyDescent="0.3">
      <c r="A25" t="s">
        <v>76</v>
      </c>
      <c r="B25">
        <v>0</v>
      </c>
      <c r="C25" s="5">
        <v>0</v>
      </c>
      <c r="D25">
        <v>0</v>
      </c>
      <c r="E25" s="18" t="e">
        <v>#DIV/0!</v>
      </c>
      <c r="F25" s="4">
        <v>1.698717060098504</v>
      </c>
      <c r="G25" s="4">
        <v>6547.3785693137397</v>
      </c>
      <c r="H25" s="4">
        <v>1.9564815447501303</v>
      </c>
      <c r="I25" s="4">
        <v>6452.7825646381507</v>
      </c>
      <c r="J25" s="4">
        <v>1.9518064693736359</v>
      </c>
      <c r="K25" s="4">
        <v>6468.238628213725</v>
      </c>
      <c r="L25" s="4">
        <v>0.52286825362448597</v>
      </c>
      <c r="M25" s="4">
        <v>6617.9007191554692</v>
      </c>
      <c r="N25" s="4" t="e">
        <v>#N/A</v>
      </c>
      <c r="O25" s="4" t="e">
        <v>#N/A</v>
      </c>
      <c r="P25" s="4">
        <v>0.32424561225472398</v>
      </c>
      <c r="Q25" s="4">
        <v>6615.0929117561182</v>
      </c>
      <c r="R25" s="4" t="e">
        <v>#N/A</v>
      </c>
      <c r="S25" s="4" t="e">
        <v>#N/A</v>
      </c>
      <c r="T25" s="4" t="e">
        <v>#N/A</v>
      </c>
      <c r="U25" s="4" t="e">
        <v>#N/A</v>
      </c>
      <c r="V25" s="4" t="e">
        <v>#N/A</v>
      </c>
      <c r="W25" s="4" t="e">
        <v>#N/A</v>
      </c>
    </row>
    <row r="26" spans="1:23" x14ac:dyDescent="0.3">
      <c r="A26" t="s">
        <v>74</v>
      </c>
      <c r="B26">
        <v>28926180.682081401</v>
      </c>
      <c r="C26" s="5">
        <v>5.7852361364162803</v>
      </c>
      <c r="D26">
        <v>6941465.7677282197</v>
      </c>
      <c r="E26" s="18">
        <v>5399.3640394645672</v>
      </c>
      <c r="F26" s="4">
        <v>4.3194101749218001</v>
      </c>
      <c r="G26" s="4">
        <v>5390.4215821720354</v>
      </c>
      <c r="H26" s="4">
        <v>5.3532924684082595</v>
      </c>
      <c r="I26" s="4">
        <v>5377.3786411973906</v>
      </c>
      <c r="J26" s="4">
        <v>16.784202699039518</v>
      </c>
      <c r="K26" s="4">
        <v>5389.666201134276</v>
      </c>
      <c r="L26" s="4">
        <v>5.1353010405990602</v>
      </c>
      <c r="M26" s="4">
        <v>5398.2935346365975</v>
      </c>
      <c r="N26" s="4">
        <v>16.784202699039518</v>
      </c>
      <c r="O26" s="4">
        <v>5389.666201134276</v>
      </c>
      <c r="P26" s="4">
        <v>16.823837052653641</v>
      </c>
      <c r="Q26" s="4">
        <v>5376.9689825741307</v>
      </c>
      <c r="R26" s="4">
        <v>16.538619094936639</v>
      </c>
      <c r="S26" s="4">
        <v>5469.6978919899711</v>
      </c>
      <c r="T26" s="4">
        <v>16.823837052653641</v>
      </c>
      <c r="U26" s="4">
        <v>5376.9689825741307</v>
      </c>
      <c r="V26" s="4">
        <v>6.0531758549637802</v>
      </c>
      <c r="W26" s="4">
        <v>0</v>
      </c>
    </row>
    <row r="27" spans="1:23" x14ac:dyDescent="0.3">
      <c r="A27" t="s">
        <v>75</v>
      </c>
      <c r="B27">
        <v>612417.48496389994</v>
      </c>
      <c r="C27" s="5">
        <v>0.12248349699277999</v>
      </c>
      <c r="D27">
        <v>220976.45148947201</v>
      </c>
      <c r="E27" s="18">
        <v>8118.5960240932736</v>
      </c>
      <c r="F27" s="4">
        <v>0.50413205143525597</v>
      </c>
      <c r="G27" s="4">
        <v>8011.293843550995</v>
      </c>
      <c r="H27" s="4">
        <v>0.50570111906033199</v>
      </c>
      <c r="I27" s="4">
        <v>7986.436746481003</v>
      </c>
      <c r="J27" s="4">
        <v>0.50659105434998597</v>
      </c>
      <c r="K27" s="4">
        <v>7972.4068660907878</v>
      </c>
      <c r="L27" s="4">
        <v>0.50512211213182601</v>
      </c>
      <c r="M27" s="4">
        <v>7995.5913688965029</v>
      </c>
      <c r="N27" s="4">
        <v>0.50043402003893001</v>
      </c>
      <c r="O27" s="4">
        <v>8070.4944873368449</v>
      </c>
      <c r="P27" s="4">
        <v>0.39398934900884602</v>
      </c>
      <c r="Q27" s="4">
        <v>8081.3355558849316</v>
      </c>
      <c r="R27" s="4">
        <v>0.50400061964562204</v>
      </c>
      <c r="S27" s="4">
        <v>8013.3830050442539</v>
      </c>
      <c r="T27" s="4">
        <v>0.50400061964562204</v>
      </c>
      <c r="U27" s="4">
        <v>8013.3830050442539</v>
      </c>
      <c r="V27" s="4">
        <v>0.485813885601944</v>
      </c>
      <c r="W27" s="4">
        <v>0</v>
      </c>
    </row>
    <row r="28" spans="1:23" x14ac:dyDescent="0.3">
      <c r="A28" t="s">
        <v>86</v>
      </c>
      <c r="B28">
        <v>0</v>
      </c>
      <c r="C28" s="20">
        <v>0</v>
      </c>
      <c r="D28">
        <v>0</v>
      </c>
      <c r="E28" s="18" t="e">
        <v>#DIV/0!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 t="e">
        <v>#N/A</v>
      </c>
      <c r="O28" s="4" t="e">
        <v>#N/A</v>
      </c>
      <c r="P28" s="4" t="e">
        <v>#N/A</v>
      </c>
      <c r="Q28" s="4" t="e">
        <v>#N/A</v>
      </c>
      <c r="R28" s="4" t="e">
        <v>#N/A</v>
      </c>
      <c r="S28" s="4" t="e">
        <v>#N/A</v>
      </c>
      <c r="T28" s="4" t="e">
        <v>#N/A</v>
      </c>
      <c r="U28" s="4" t="e">
        <v>#N/A</v>
      </c>
      <c r="V28" s="4" t="e">
        <v>#N/A</v>
      </c>
      <c r="W28" s="4" t="e">
        <v>#N/A</v>
      </c>
    </row>
    <row r="29" spans="1:23" x14ac:dyDescent="0.3">
      <c r="A29" t="s">
        <v>77</v>
      </c>
      <c r="B29">
        <v>15931113.8329731</v>
      </c>
      <c r="C29" s="5">
        <v>3.1862227665946201</v>
      </c>
      <c r="D29">
        <v>4779791.2282483503</v>
      </c>
      <c r="E29" s="18">
        <v>6750.6455457620405</v>
      </c>
      <c r="F29" s="4">
        <v>4.8855311806472397</v>
      </c>
      <c r="G29" s="4">
        <v>6705.9750083632925</v>
      </c>
      <c r="H29" s="4">
        <v>4.9200158600300199</v>
      </c>
      <c r="I29" s="4">
        <v>6658.972436686433</v>
      </c>
      <c r="J29" s="4">
        <v>4.9164633735352199</v>
      </c>
      <c r="K29" s="4">
        <v>6663.784007088414</v>
      </c>
      <c r="L29" s="4">
        <v>4.9223657954180799</v>
      </c>
      <c r="M29" s="4">
        <v>6655.7934460084853</v>
      </c>
      <c r="N29" s="4">
        <v>4.8855311806472397</v>
      </c>
      <c r="O29" s="4">
        <v>6705.9750083632925</v>
      </c>
      <c r="P29" s="4">
        <v>4.8414370027949198</v>
      </c>
      <c r="Q29" s="4">
        <v>6767.0507704812917</v>
      </c>
      <c r="R29" s="4">
        <v>4.8802476433201996</v>
      </c>
      <c r="S29" s="4">
        <v>6713.2351459342581</v>
      </c>
      <c r="T29" s="4">
        <v>4.8802476433201996</v>
      </c>
      <c r="U29" s="4">
        <v>6713.2351459342581</v>
      </c>
      <c r="V29" s="4">
        <v>4.8802476433201996</v>
      </c>
      <c r="W29" s="4">
        <v>0</v>
      </c>
    </row>
    <row r="30" spans="1:23" x14ac:dyDescent="0.3">
      <c r="A30" t="s">
        <v>81</v>
      </c>
      <c r="B30">
        <v>0</v>
      </c>
      <c r="C30" s="5">
        <v>0</v>
      </c>
      <c r="D30">
        <v>0</v>
      </c>
      <c r="E30" s="18" t="e">
        <v>#DIV/0!</v>
      </c>
      <c r="F30" s="4">
        <v>2.5766152525477399</v>
      </c>
      <c r="G30" s="4">
        <v>7115.1484420782081</v>
      </c>
      <c r="H30" s="4">
        <v>2.6195990662075999</v>
      </c>
      <c r="I30" s="4">
        <v>6998.3991964620482</v>
      </c>
      <c r="J30" s="4">
        <v>2.6698563628010796</v>
      </c>
      <c r="K30" s="4">
        <v>6866.6615385877658</v>
      </c>
      <c r="L30" s="4">
        <v>2.6397350826391999</v>
      </c>
      <c r="M30" s="4">
        <v>6945.015096617467</v>
      </c>
      <c r="N30" s="4">
        <v>2.48837019442976</v>
      </c>
      <c r="O30" s="4">
        <v>7367.4729109995742</v>
      </c>
      <c r="P30" s="4">
        <v>1.5733452604048601E-3</v>
      </c>
      <c r="Q30" s="4">
        <v>6716.4740665929812</v>
      </c>
      <c r="R30" s="4" t="e">
        <v>#N/A</v>
      </c>
      <c r="S30" s="4" t="e">
        <v>#N/A</v>
      </c>
      <c r="T30" s="4" t="e">
        <v>#N/A</v>
      </c>
      <c r="U30" s="4" t="e">
        <v>#N/A</v>
      </c>
      <c r="V30" s="4" t="e">
        <v>#N/A</v>
      </c>
      <c r="W30" s="4" t="e">
        <v>#N/A</v>
      </c>
    </row>
    <row r="31" spans="1:23" x14ac:dyDescent="0.3">
      <c r="A31" t="s">
        <v>78</v>
      </c>
      <c r="B31">
        <v>37108511.599941701</v>
      </c>
      <c r="C31" s="5">
        <v>7.4217023199883405</v>
      </c>
      <c r="D31">
        <v>8462912.9618184697</v>
      </c>
      <c r="E31" s="18">
        <v>5131.3171407611708</v>
      </c>
      <c r="F31" s="4">
        <v>283.18128014764801</v>
      </c>
      <c r="G31" s="4">
        <v>3468.0881839564827</v>
      </c>
      <c r="H31" s="4">
        <v>28.568551731785202</v>
      </c>
      <c r="I31" s="4">
        <v>4056.8578456195683</v>
      </c>
      <c r="J31" s="4">
        <v>391.82198754066002</v>
      </c>
      <c r="K31" s="4">
        <v>3634.3155700322427</v>
      </c>
      <c r="L31" s="4">
        <v>380.15365943554804</v>
      </c>
      <c r="M31" s="4">
        <v>3745.8662166092558</v>
      </c>
      <c r="N31" s="4">
        <v>28.568551731785202</v>
      </c>
      <c r="O31" s="4">
        <v>4056.8578456195683</v>
      </c>
      <c r="P31" s="4">
        <v>28.568551731785202</v>
      </c>
      <c r="Q31" s="4">
        <v>4056.8578456195683</v>
      </c>
      <c r="R31" s="4">
        <v>375.10087130942401</v>
      </c>
      <c r="S31" s="4">
        <v>3796.3248259834777</v>
      </c>
      <c r="T31" s="4">
        <v>375.10087130942401</v>
      </c>
      <c r="U31" s="4">
        <v>3796.3248259834777</v>
      </c>
      <c r="V31" s="4">
        <v>9.3820098699878205</v>
      </c>
      <c r="W31" s="4">
        <v>0</v>
      </c>
    </row>
    <row r="32" spans="1:23" x14ac:dyDescent="0.3">
      <c r="A32" t="s">
        <v>84</v>
      </c>
      <c r="B32">
        <v>1006122.81545159</v>
      </c>
      <c r="C32" s="5">
        <v>0.201224563090318</v>
      </c>
      <c r="D32">
        <v>342462.390664712</v>
      </c>
      <c r="E32" s="18">
        <v>7658.5121335286622</v>
      </c>
      <c r="F32" s="4">
        <v>8.9596435867710209</v>
      </c>
      <c r="G32" s="4">
        <v>7559.6777290548271</v>
      </c>
      <c r="H32" s="4">
        <v>4.9351181970919002</v>
      </c>
      <c r="I32" s="4">
        <v>7639.0424124214651</v>
      </c>
      <c r="J32" s="4">
        <v>33.947306764171202</v>
      </c>
      <c r="K32" s="4">
        <v>7564.5209810749457</v>
      </c>
      <c r="L32" s="4">
        <v>2.62157434613172</v>
      </c>
      <c r="M32" s="4">
        <v>7575.5870026850525</v>
      </c>
      <c r="N32" s="4">
        <v>33.947306764171202</v>
      </c>
      <c r="O32" s="4">
        <v>7564.5209810749457</v>
      </c>
      <c r="P32" s="4">
        <v>3.7773551147274</v>
      </c>
      <c r="Q32" s="4">
        <v>7558.0030610673821</v>
      </c>
      <c r="R32" s="4" t="e">
        <v>#N/A</v>
      </c>
      <c r="S32" s="4" t="e">
        <v>#N/A</v>
      </c>
      <c r="T32" s="4" t="e">
        <v>#N/A</v>
      </c>
      <c r="U32" s="4" t="e">
        <v>#N/A</v>
      </c>
      <c r="V32" s="4" t="e">
        <v>#N/A</v>
      </c>
      <c r="W32" s="4" t="e">
        <v>#N/A</v>
      </c>
    </row>
    <row r="33" spans="1:23" x14ac:dyDescent="0.3">
      <c r="A33" t="s">
        <v>87</v>
      </c>
      <c r="B33">
        <v>92159.2536693</v>
      </c>
      <c r="C33" s="5">
        <v>1.843185073386E-2</v>
      </c>
      <c r="D33">
        <v>23139.248427791099</v>
      </c>
      <c r="E33" s="18">
        <v>5649.2763221967425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e">
        <v>#N/A</v>
      </c>
      <c r="W33" s="4" t="e">
        <v>#N/A</v>
      </c>
    </row>
    <row r="34" spans="1:23" x14ac:dyDescent="0.3">
      <c r="A34" t="s">
        <v>89</v>
      </c>
      <c r="B34">
        <v>0</v>
      </c>
      <c r="C34" s="20">
        <v>0</v>
      </c>
      <c r="D34">
        <v>0</v>
      </c>
      <c r="E34" s="18" t="e">
        <v>#DIV/0!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e">
        <v>#N/A</v>
      </c>
      <c r="S34" s="4" t="e">
        <v>#N/A</v>
      </c>
      <c r="T34" s="4" t="e">
        <v>#N/A</v>
      </c>
      <c r="U34" s="4" t="e">
        <v>#N/A</v>
      </c>
      <c r="V34" s="4" t="e">
        <v>#N/A</v>
      </c>
      <c r="W34" s="4" t="e">
        <v>#N/A</v>
      </c>
    </row>
    <row r="35" spans="1:23" x14ac:dyDescent="0.3">
      <c r="A35" t="s">
        <v>91</v>
      </c>
      <c r="B35">
        <v>0</v>
      </c>
      <c r="C35" s="5">
        <v>0</v>
      </c>
      <c r="D35">
        <v>0</v>
      </c>
      <c r="E35" s="18" t="e">
        <v>#DIV/0!</v>
      </c>
      <c r="F35" s="4">
        <v>9.3089591650900999E-2</v>
      </c>
      <c r="G35" s="4">
        <v>8411.2518501140239</v>
      </c>
      <c r="H35" s="4">
        <v>9.3557358441813399E-2</v>
      </c>
      <c r="I35" s="4">
        <v>8369.1973890752306</v>
      </c>
      <c r="J35" s="4">
        <v>9.2622224396939803E-2</v>
      </c>
      <c r="K35" s="4">
        <v>8453.6946191703646</v>
      </c>
      <c r="L35" s="4">
        <v>9.0185605655692197E-2</v>
      </c>
      <c r="M35" s="4">
        <v>8682.0950450708606</v>
      </c>
      <c r="N35" s="4">
        <v>9.0987657228982999E-2</v>
      </c>
      <c r="O35" s="4">
        <v>8605.5628185861297</v>
      </c>
      <c r="P35" s="4">
        <v>6.4387745417618999E-4</v>
      </c>
      <c r="Q35" s="4">
        <v>8130.3270167329592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e">
        <v>#N/A</v>
      </c>
      <c r="W35" s="4" t="e">
        <v>#N/A</v>
      </c>
    </row>
    <row r="36" spans="1:23" x14ac:dyDescent="0.3">
      <c r="A36" t="s">
        <v>79</v>
      </c>
      <c r="B36">
        <v>175609378.609074</v>
      </c>
      <c r="C36" s="5">
        <v>35.121875721814803</v>
      </c>
      <c r="D36">
        <v>70026640.536161795</v>
      </c>
      <c r="E36" s="18">
        <v>8972.1826051847693</v>
      </c>
      <c r="F36" s="4">
        <v>24.894937266698797</v>
      </c>
      <c r="G36" s="4">
        <v>8163.4670464445326</v>
      </c>
      <c r="H36" s="4">
        <v>22.589627200509398</v>
      </c>
      <c r="I36" s="4">
        <v>8996.5628115995278</v>
      </c>
      <c r="J36" s="4">
        <v>27.296740894017798</v>
      </c>
      <c r="K36" s="4">
        <v>7445.1745279429506</v>
      </c>
      <c r="L36" s="4">
        <v>23.809497828203202</v>
      </c>
      <c r="M36" s="4">
        <v>8535.627314208532</v>
      </c>
      <c r="N36" s="4">
        <v>22.589627200509398</v>
      </c>
      <c r="O36" s="4">
        <v>8996.5628115995278</v>
      </c>
      <c r="P36" s="4">
        <v>22.623032258277799</v>
      </c>
      <c r="Q36" s="4">
        <v>8983.2785313577151</v>
      </c>
      <c r="R36" s="4">
        <v>22.589627200509398</v>
      </c>
      <c r="S36" s="4">
        <v>8996.5628115995278</v>
      </c>
      <c r="T36" s="4">
        <v>22.192286906611599</v>
      </c>
      <c r="U36" s="4">
        <v>9157.641159526167</v>
      </c>
      <c r="V36" s="4">
        <v>22.623032258277799</v>
      </c>
      <c r="W36" s="4">
        <v>0</v>
      </c>
    </row>
    <row r="37" spans="1:23" x14ac:dyDescent="0.3">
      <c r="A37" t="s">
        <v>80</v>
      </c>
      <c r="B37">
        <v>4026226345.1891999</v>
      </c>
      <c r="C37" s="5">
        <v>805.24526903783999</v>
      </c>
      <c r="D37">
        <v>1077528708.2098401</v>
      </c>
      <c r="E37" s="18">
        <v>6021.6177274012916</v>
      </c>
      <c r="F37" s="4">
        <v>990.02529802140407</v>
      </c>
      <c r="G37" s="4">
        <v>6140.0622707149878</v>
      </c>
      <c r="H37" s="4">
        <v>1823.3602184620838</v>
      </c>
      <c r="I37" s="4">
        <v>5637.4540493276845</v>
      </c>
      <c r="J37" s="4">
        <v>3716.4049406332601</v>
      </c>
      <c r="K37" s="4">
        <v>5938.8405872259882</v>
      </c>
      <c r="L37" s="4">
        <v>3349.5459332861801</v>
      </c>
      <c r="M37" s="4">
        <v>6589.2920830455369</v>
      </c>
      <c r="N37" s="4">
        <v>990.02529802140407</v>
      </c>
      <c r="O37" s="4">
        <v>6140.0622707149878</v>
      </c>
      <c r="P37" s="4">
        <v>990.02529802140407</v>
      </c>
      <c r="Q37" s="4">
        <v>6140.0622707149878</v>
      </c>
      <c r="R37" s="4">
        <v>990.02529802140407</v>
      </c>
      <c r="S37" s="4">
        <v>6140.0622707149878</v>
      </c>
      <c r="T37" s="4">
        <v>990.02529802140407</v>
      </c>
      <c r="U37" s="4">
        <v>6140.0622707149878</v>
      </c>
      <c r="V37" s="4">
        <v>990.02529802140407</v>
      </c>
      <c r="W37" s="4">
        <v>0</v>
      </c>
    </row>
    <row r="38" spans="1:23" x14ac:dyDescent="0.3">
      <c r="A38" t="s">
        <v>82</v>
      </c>
      <c r="B38">
        <v>313551.89856604999</v>
      </c>
      <c r="C38" s="5">
        <v>6.2710379713210002E-2</v>
      </c>
      <c r="D38">
        <v>85412.374253358794</v>
      </c>
      <c r="E38" s="18">
        <v>6129.0600678526862</v>
      </c>
      <c r="F38" s="4">
        <v>29.626412523436397</v>
      </c>
      <c r="G38" s="4">
        <v>6779.6767442264163</v>
      </c>
      <c r="H38" s="4">
        <v>30.162567357137</v>
      </c>
      <c r="I38" s="4">
        <v>6659.1645738164634</v>
      </c>
      <c r="J38" s="4">
        <v>30.487996862395399</v>
      </c>
      <c r="K38" s="4">
        <v>6588.0845142614899</v>
      </c>
      <c r="L38" s="4">
        <v>30.3723555114336</v>
      </c>
      <c r="M38" s="4">
        <v>6613.1683439694907</v>
      </c>
      <c r="N38" s="4">
        <v>30.162567357137</v>
      </c>
      <c r="O38" s="4">
        <v>6659.1645738164634</v>
      </c>
      <c r="P38" s="4">
        <v>31.697408427005602</v>
      </c>
      <c r="Q38" s="4">
        <v>6336.7167843561847</v>
      </c>
      <c r="R38" s="4">
        <v>29.626412523436397</v>
      </c>
      <c r="S38" s="4">
        <v>6779.6767442264163</v>
      </c>
      <c r="T38" s="4">
        <v>31.6896870035538</v>
      </c>
      <c r="U38" s="4">
        <v>6338.2607716344783</v>
      </c>
      <c r="V38" s="4">
        <v>31.009384613468402</v>
      </c>
      <c r="W38" s="4">
        <v>0</v>
      </c>
    </row>
    <row r="39" spans="1:23" x14ac:dyDescent="0.3">
      <c r="A39" t="s">
        <v>96</v>
      </c>
      <c r="B39">
        <v>0</v>
      </c>
      <c r="C39" s="5">
        <v>0</v>
      </c>
      <c r="D39">
        <v>0</v>
      </c>
      <c r="E39" s="18" t="e">
        <v>#DIV/0!</v>
      </c>
      <c r="F39" s="4">
        <v>1.1839778935427159</v>
      </c>
      <c r="G39" s="4">
        <v>6617.0998991860342</v>
      </c>
      <c r="H39" s="4">
        <v>1.294279156850576</v>
      </c>
      <c r="I39" s="4">
        <v>6053.1763634855815</v>
      </c>
      <c r="J39" s="4">
        <v>1.2252783435975259</v>
      </c>
      <c r="K39" s="4">
        <v>6394.0573510809081</v>
      </c>
      <c r="L39" s="4">
        <v>1.27336087175895</v>
      </c>
      <c r="M39" s="4">
        <v>6152.6156282608699</v>
      </c>
      <c r="N39" s="4">
        <v>1.1779175806601319</v>
      </c>
      <c r="O39" s="4">
        <v>6651.1444676879401</v>
      </c>
      <c r="P39" s="4">
        <v>7.8860774456310199E-3</v>
      </c>
      <c r="Q39" s="4">
        <v>6126.0994056237687</v>
      </c>
      <c r="R39" s="4" t="e">
        <v>#N/A</v>
      </c>
      <c r="S39" s="4" t="e">
        <v>#N/A</v>
      </c>
      <c r="T39" s="4" t="e">
        <v>#N/A</v>
      </c>
      <c r="U39" s="4" t="e">
        <v>#N/A</v>
      </c>
      <c r="V39" s="4" t="e">
        <v>#N/A</v>
      </c>
      <c r="W39" s="4" t="e">
        <v>#N/A</v>
      </c>
    </row>
    <row r="40" spans="1:23" x14ac:dyDescent="0.3">
      <c r="A40" t="s">
        <v>98</v>
      </c>
      <c r="B40">
        <v>0</v>
      </c>
      <c r="C40" s="20">
        <v>0</v>
      </c>
      <c r="D40">
        <v>0</v>
      </c>
      <c r="E40" s="18" t="e">
        <v>#DIV/0!</v>
      </c>
      <c r="F40" s="4">
        <v>4.2088797826549005</v>
      </c>
      <c r="G40" s="4">
        <v>7151.1308362945128</v>
      </c>
      <c r="H40" s="4">
        <v>4.2373527803022402</v>
      </c>
      <c r="I40" s="4">
        <v>7103.0786343574546</v>
      </c>
      <c r="J40" s="4">
        <v>4.2354318298300599</v>
      </c>
      <c r="K40" s="4">
        <v>7106.3001859736223</v>
      </c>
      <c r="L40" s="4">
        <v>4.1832708437333004</v>
      </c>
      <c r="M40" s="4">
        <v>7194.9082725753533</v>
      </c>
      <c r="N40" s="4">
        <v>4.1914069354532799</v>
      </c>
      <c r="O40" s="4">
        <v>7180.9419756912775</v>
      </c>
      <c r="P40" s="4">
        <v>2.2069845087353001E-2</v>
      </c>
      <c r="Q40" s="4">
        <v>6954.2823734114027</v>
      </c>
      <c r="R40" s="4" t="e">
        <v>#N/A</v>
      </c>
      <c r="S40" s="4" t="e">
        <v>#N/A</v>
      </c>
      <c r="T40" s="4" t="e">
        <v>#N/A</v>
      </c>
      <c r="U40" s="4" t="e">
        <v>#N/A</v>
      </c>
      <c r="V40" s="4" t="e">
        <v>#N/A</v>
      </c>
      <c r="W40" s="4" t="e">
        <v>#N/A</v>
      </c>
    </row>
    <row r="41" spans="1:23" x14ac:dyDescent="0.3">
      <c r="A41" t="s">
        <v>83</v>
      </c>
      <c r="B41">
        <v>1973121.1997213</v>
      </c>
      <c r="C41" s="5">
        <v>0.39462423994425999</v>
      </c>
      <c r="D41">
        <v>540248.93730477698</v>
      </c>
      <c r="E41" s="18">
        <v>6160.5952493310797</v>
      </c>
      <c r="F41" s="4">
        <v>3.9528675172595999</v>
      </c>
      <c r="G41" s="4">
        <v>6837.8841137429608</v>
      </c>
      <c r="H41" s="4">
        <v>4.1968760864486594</v>
      </c>
      <c r="I41" s="4">
        <v>6440.3259575080265</v>
      </c>
      <c r="J41" s="4">
        <v>4.1221204138351402</v>
      </c>
      <c r="K41" s="4">
        <v>6557.1228606717277</v>
      </c>
      <c r="L41" s="4">
        <v>4.1656143702755806</v>
      </c>
      <c r="M41" s="4">
        <v>6488.6587181164841</v>
      </c>
      <c r="N41" s="4">
        <v>4.1968760864486594</v>
      </c>
      <c r="O41" s="4">
        <v>6440.3259575080265</v>
      </c>
      <c r="P41" s="4">
        <v>0.337585091114186</v>
      </c>
      <c r="Q41" s="4">
        <v>6421.4702111881634</v>
      </c>
      <c r="R41" s="4">
        <v>4.23937445983616</v>
      </c>
      <c r="S41" s="4">
        <v>6375.7637491274145</v>
      </c>
      <c r="T41" s="4">
        <v>3.9528675172595999</v>
      </c>
      <c r="U41" s="4">
        <v>6837.8841137429608</v>
      </c>
      <c r="V41" s="4">
        <v>3.9528675172595999</v>
      </c>
      <c r="W41" s="4">
        <v>0</v>
      </c>
    </row>
    <row r="42" spans="1:23" x14ac:dyDescent="0.3">
      <c r="A42" t="s">
        <v>101</v>
      </c>
      <c r="B42">
        <v>0</v>
      </c>
      <c r="C42" s="5">
        <v>0</v>
      </c>
      <c r="D42">
        <v>0</v>
      </c>
      <c r="E42" s="18" t="e">
        <v>#DIV/0!</v>
      </c>
      <c r="F42" s="4">
        <v>4.4602239339043601</v>
      </c>
      <c r="G42" s="4">
        <v>6858.6242424876218</v>
      </c>
      <c r="H42" s="4">
        <v>4.5067024794730601</v>
      </c>
      <c r="I42" s="4">
        <v>6787.8898461424087</v>
      </c>
      <c r="J42" s="4">
        <v>4.5681144929227999</v>
      </c>
      <c r="K42" s="4">
        <v>6696.6360075679868</v>
      </c>
      <c r="L42" s="4">
        <v>4.6228365636914601</v>
      </c>
      <c r="M42" s="4">
        <v>6617.3656754960548</v>
      </c>
      <c r="N42" s="4">
        <v>4.3469315351955</v>
      </c>
      <c r="O42" s="4">
        <v>7037.3779187263399</v>
      </c>
      <c r="P42" s="4">
        <v>4.81590021351884</v>
      </c>
      <c r="Q42" s="4">
        <v>6352.0834410412399</v>
      </c>
      <c r="R42" s="4" t="e">
        <v>#N/A</v>
      </c>
      <c r="S42" s="4" t="e">
        <v>#N/A</v>
      </c>
      <c r="T42" s="4" t="e">
        <v>#N/A</v>
      </c>
      <c r="U42" s="4" t="e">
        <v>#N/A</v>
      </c>
      <c r="V42" s="4" t="e">
        <v>#N/A</v>
      </c>
      <c r="W42" s="4" t="e">
        <v>#N/A</v>
      </c>
    </row>
    <row r="43" spans="1:23" x14ac:dyDescent="0.3">
      <c r="A43" t="s">
        <v>85</v>
      </c>
      <c r="B43">
        <v>179325.32029844899</v>
      </c>
      <c r="C43" s="5">
        <v>3.5865064059689797E-2</v>
      </c>
      <c r="D43">
        <v>39040.6839134439</v>
      </c>
      <c r="E43" s="18">
        <v>4898.4459450040385</v>
      </c>
      <c r="F43" s="4">
        <v>0.95330822004035809</v>
      </c>
      <c r="G43" s="4">
        <v>5358.7530707999731</v>
      </c>
      <c r="H43" s="4">
        <v>0.58217420492217997</v>
      </c>
      <c r="I43" s="4">
        <v>5284.7676544422957</v>
      </c>
      <c r="J43" s="4">
        <v>7.6798983210779603</v>
      </c>
      <c r="K43" s="4">
        <v>5113.5442629776635</v>
      </c>
      <c r="L43" s="4">
        <v>0.70266966609859405</v>
      </c>
      <c r="M43" s="4">
        <v>5211.8891284000974</v>
      </c>
      <c r="N43" s="4">
        <v>7.6798983210779603</v>
      </c>
      <c r="O43" s="4">
        <v>5113.5442629776635</v>
      </c>
      <c r="P43" s="4">
        <v>2.3918289764110598</v>
      </c>
      <c r="Q43" s="4">
        <v>5350.3986363721779</v>
      </c>
      <c r="R43" s="4">
        <v>7.3612948450136795</v>
      </c>
      <c r="S43" s="4">
        <v>5334.8630678203763</v>
      </c>
      <c r="T43" s="4">
        <v>7.2250376497236211</v>
      </c>
      <c r="U43" s="4">
        <v>5435.4734056648485</v>
      </c>
      <c r="V43" s="4">
        <v>7.5524116971644997</v>
      </c>
      <c r="W43" s="4">
        <v>0</v>
      </c>
    </row>
    <row r="44" spans="1:23" x14ac:dyDescent="0.3">
      <c r="A44" t="s">
        <v>104</v>
      </c>
      <c r="B44">
        <v>1718020.26402905</v>
      </c>
      <c r="C44" s="5">
        <v>0.34360405280581002</v>
      </c>
      <c r="D44">
        <v>553158.30431382195</v>
      </c>
      <c r="E44" s="18">
        <v>7244.4208649046195</v>
      </c>
      <c r="F44" s="4">
        <v>6.1889214876416396</v>
      </c>
      <c r="G44" s="4">
        <v>7207.4351062736987</v>
      </c>
      <c r="H44" s="4">
        <v>6.1649901421069604</v>
      </c>
      <c r="I44" s="4">
        <v>7235.4130293475655</v>
      </c>
      <c r="J44" s="4">
        <v>6.1727671111575599</v>
      </c>
      <c r="K44" s="4">
        <v>7226.2972499597709</v>
      </c>
      <c r="L44" s="4">
        <v>6.1698613111689999</v>
      </c>
      <c r="M44" s="4">
        <v>7229.7005962275807</v>
      </c>
      <c r="N44" s="4">
        <v>6.1649901421069604</v>
      </c>
      <c r="O44" s="4">
        <v>7235.4130293475655</v>
      </c>
      <c r="P44" s="4">
        <v>2.4270425033139</v>
      </c>
      <c r="Q44" s="4">
        <v>7231.3551002858094</v>
      </c>
      <c r="R44" s="4" t="e">
        <v>#N/A</v>
      </c>
      <c r="S44" s="4" t="e">
        <v>#N/A</v>
      </c>
      <c r="T44" s="4" t="e">
        <v>#N/A</v>
      </c>
      <c r="U44" s="4" t="e">
        <v>#N/A</v>
      </c>
      <c r="V44" s="4" t="e">
        <v>#N/A</v>
      </c>
      <c r="W44" s="4" t="e">
        <v>#N/A</v>
      </c>
    </row>
    <row r="45" spans="1:23" x14ac:dyDescent="0.3">
      <c r="A45" t="s">
        <v>88</v>
      </c>
      <c r="B45">
        <v>1752516.3130502601</v>
      </c>
      <c r="C45" s="5">
        <v>0.35050326261005199</v>
      </c>
      <c r="D45">
        <v>554778.59935488005</v>
      </c>
      <c r="E45" s="18">
        <v>7122.6261305145517</v>
      </c>
      <c r="F45" s="4">
        <v>1.6885579583544001</v>
      </c>
      <c r="G45" s="4">
        <v>7100.8815188583803</v>
      </c>
      <c r="H45" s="4">
        <v>0.29097040123493001</v>
      </c>
      <c r="I45" s="4">
        <v>7096.890112141954</v>
      </c>
      <c r="J45" s="4">
        <v>1.6917867750863043</v>
      </c>
      <c r="K45" s="4">
        <v>7087.3293115725728</v>
      </c>
      <c r="L45" s="4">
        <v>0.40818623948669402</v>
      </c>
      <c r="M45" s="4">
        <v>7101.9402506947617</v>
      </c>
      <c r="N45" s="4">
        <v>1.6885579583544001</v>
      </c>
      <c r="O45" s="4">
        <v>7100.8815188583803</v>
      </c>
      <c r="P45" s="4">
        <v>1.459577926410484</v>
      </c>
      <c r="Q45" s="4">
        <v>7107.5201461832512</v>
      </c>
      <c r="R45" s="4">
        <v>1.6914215545982438</v>
      </c>
      <c r="S45" s="4">
        <v>7088.8596443646429</v>
      </c>
      <c r="T45" s="4">
        <v>0.17645774682645779</v>
      </c>
      <c r="U45" s="4">
        <v>7119.5639366879604</v>
      </c>
      <c r="V45" s="4">
        <v>1.6908443708626217</v>
      </c>
      <c r="W45" s="4">
        <v>0</v>
      </c>
    </row>
    <row r="46" spans="1:23" x14ac:dyDescent="0.3">
      <c r="A46" t="s">
        <v>90</v>
      </c>
      <c r="B46">
        <v>32186252.312405899</v>
      </c>
      <c r="C46" s="20">
        <v>6.4372504624811802</v>
      </c>
      <c r="D46">
        <v>6108242.2487046197</v>
      </c>
      <c r="E46" s="18">
        <v>4270.004760475972</v>
      </c>
      <c r="F46" s="4">
        <v>9.0807441699896199</v>
      </c>
      <c r="G46" s="4">
        <v>4272.4220338393834</v>
      </c>
      <c r="H46" s="4">
        <v>5.7155191873023803</v>
      </c>
      <c r="I46" s="4">
        <v>4265.896433691395</v>
      </c>
      <c r="J46" s="4">
        <v>36.466572769270805</v>
      </c>
      <c r="K46" s="4">
        <v>4274.039287572371</v>
      </c>
      <c r="L46" s="4">
        <v>5.8272157320872404</v>
      </c>
      <c r="M46" s="4">
        <v>4261.1687375350648</v>
      </c>
      <c r="N46" s="4">
        <v>36.466572769270805</v>
      </c>
      <c r="O46" s="4">
        <v>4274.039287572371</v>
      </c>
      <c r="P46" s="4">
        <v>26.288464552155599</v>
      </c>
      <c r="Q46" s="4">
        <v>4200.296790428768</v>
      </c>
      <c r="R46" s="4">
        <v>20.724628521935401</v>
      </c>
      <c r="S46" s="4">
        <v>4239.8379951090519</v>
      </c>
      <c r="T46" s="4">
        <v>10.254358649401841</v>
      </c>
      <c r="U46" s="4">
        <v>4239.4903183667939</v>
      </c>
      <c r="V46" s="4">
        <v>6.6202465541554201</v>
      </c>
      <c r="W46" s="4">
        <v>0</v>
      </c>
    </row>
    <row r="47" spans="1:23" x14ac:dyDescent="0.3">
      <c r="A47" t="s">
        <v>92</v>
      </c>
      <c r="B47">
        <v>33537292.445546798</v>
      </c>
      <c r="C47" s="5">
        <v>6.70745848910936</v>
      </c>
      <c r="D47">
        <v>5892352.1028020997</v>
      </c>
      <c r="E47" s="18">
        <v>3953.1492450772184</v>
      </c>
      <c r="F47" s="4">
        <v>14.643836480480982</v>
      </c>
      <c r="G47" s="4">
        <v>4012.8987009669468</v>
      </c>
      <c r="H47" s="4">
        <v>8.2285174773476797</v>
      </c>
      <c r="I47" s="4">
        <v>3961.8898213320463</v>
      </c>
      <c r="J47" s="4">
        <v>19.185092448660519</v>
      </c>
      <c r="K47" s="4">
        <v>3956.1576366184877</v>
      </c>
      <c r="L47" s="4">
        <v>7.7007735485548006</v>
      </c>
      <c r="M47" s="4">
        <v>3953.7389049314015</v>
      </c>
      <c r="N47" s="4">
        <v>19.185092448660519</v>
      </c>
      <c r="O47" s="4">
        <v>3956.1576366184877</v>
      </c>
      <c r="P47" s="4">
        <v>5.4683120737193596</v>
      </c>
      <c r="Q47" s="4">
        <v>4001.7898574089336</v>
      </c>
      <c r="R47" s="4">
        <v>19.185092448660519</v>
      </c>
      <c r="S47" s="4">
        <v>3956.1576366184877</v>
      </c>
      <c r="T47" s="4">
        <v>19.185092448660519</v>
      </c>
      <c r="U47" s="4">
        <v>3956.1576366184877</v>
      </c>
      <c r="V47" s="4">
        <v>19.38749899120322</v>
      </c>
      <c r="W47" s="4">
        <v>0</v>
      </c>
    </row>
    <row r="48" spans="1:23" x14ac:dyDescent="0.3">
      <c r="A48" t="s">
        <v>93</v>
      </c>
      <c r="B48">
        <v>18795.8175763</v>
      </c>
      <c r="C48" s="5">
        <v>3.7591635152599999E-3</v>
      </c>
      <c r="D48">
        <v>6433.2577416629701</v>
      </c>
      <c r="E48" s="18">
        <v>7701.0908729999956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x14ac:dyDescent="0.3">
      <c r="A49" t="s">
        <v>94</v>
      </c>
      <c r="B49">
        <v>3114884.8557945499</v>
      </c>
      <c r="C49" s="5">
        <v>0.62297697115890993</v>
      </c>
      <c r="D49">
        <v>978185.502877714</v>
      </c>
      <c r="E49" s="18">
        <v>7065.8065494155899</v>
      </c>
      <c r="F49" s="4">
        <v>7.4901864775415197</v>
      </c>
      <c r="G49" s="4">
        <v>7289.6382705175283</v>
      </c>
      <c r="H49" s="4">
        <v>7.4391044167175995</v>
      </c>
      <c r="I49" s="4">
        <v>7339.6939929083301</v>
      </c>
      <c r="J49" s="4">
        <v>7.4713758465658797</v>
      </c>
      <c r="K49" s="4">
        <v>7307.9913420627236</v>
      </c>
      <c r="L49" s="4">
        <v>7.4572314922800196</v>
      </c>
      <c r="M49" s="4">
        <v>7321.8526280865162</v>
      </c>
      <c r="N49" s="4">
        <v>7.4391044167175995</v>
      </c>
      <c r="O49" s="4">
        <v>7339.6939929083301</v>
      </c>
      <c r="P49" s="4">
        <v>0.80300467851470003</v>
      </c>
      <c r="Q49" s="4">
        <v>7269.7687740654164</v>
      </c>
      <c r="R49" s="4">
        <v>7.4901864775415197</v>
      </c>
      <c r="S49" s="4">
        <v>7289.6382705175283</v>
      </c>
      <c r="T49" s="4">
        <v>7.4245064102722003</v>
      </c>
      <c r="U49" s="4">
        <v>7354.125241841869</v>
      </c>
      <c r="V49" s="4">
        <v>7.2798358849214404</v>
      </c>
      <c r="W49" s="4">
        <v>0</v>
      </c>
    </row>
    <row r="50" spans="1:23" x14ac:dyDescent="0.3">
      <c r="A50" t="s">
        <v>118</v>
      </c>
      <c r="B50">
        <v>0</v>
      </c>
      <c r="C50" s="5">
        <v>0</v>
      </c>
      <c r="D50">
        <v>0</v>
      </c>
      <c r="E50" s="18" t="e">
        <v>#DIV/0!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 t="e">
        <v>#N/A</v>
      </c>
      <c r="O50" s="4" t="e">
        <v>#N/A</v>
      </c>
      <c r="P50" s="4" t="e">
        <v>#N/A</v>
      </c>
      <c r="Q50" s="4" t="e">
        <v>#N/A</v>
      </c>
      <c r="R50" s="4" t="e">
        <v>#N/A</v>
      </c>
      <c r="S50" s="4" t="e">
        <v>#N/A</v>
      </c>
      <c r="T50" s="4" t="e">
        <v>#N/A</v>
      </c>
      <c r="U50" s="4" t="e">
        <v>#N/A</v>
      </c>
      <c r="V50" s="4" t="e">
        <v>#N/A</v>
      </c>
      <c r="W50" s="4" t="e">
        <v>#N/A</v>
      </c>
    </row>
    <row r="51" spans="1:23" x14ac:dyDescent="0.3">
      <c r="A51" t="s">
        <v>95</v>
      </c>
      <c r="B51">
        <v>221636.25955326</v>
      </c>
      <c r="C51" s="5">
        <v>4.4327251910651996E-2</v>
      </c>
      <c r="D51">
        <v>64103.249162801498</v>
      </c>
      <c r="E51" s="18">
        <v>6507.613461219049</v>
      </c>
      <c r="F51" s="4">
        <v>12.879358192352919</v>
      </c>
      <c r="G51" s="4">
        <v>6177.6758446893091</v>
      </c>
      <c r="H51" s="4">
        <v>15.358564346108919</v>
      </c>
      <c r="I51" s="4">
        <v>5180.4646715015133</v>
      </c>
      <c r="J51" s="4">
        <v>14.10889466569536</v>
      </c>
      <c r="K51" s="4">
        <v>5639.3149063231867</v>
      </c>
      <c r="L51" s="4">
        <v>14.083325480594441</v>
      </c>
      <c r="M51" s="4">
        <v>5649.5534459977334</v>
      </c>
      <c r="N51" s="4">
        <v>15.358564346108919</v>
      </c>
      <c r="O51" s="4">
        <v>5180.4646715015133</v>
      </c>
      <c r="P51" s="4">
        <v>13.599898821386859</v>
      </c>
      <c r="Q51" s="4">
        <v>5850.3744068212372</v>
      </c>
      <c r="R51" s="4">
        <v>12.879358192352919</v>
      </c>
      <c r="S51" s="4">
        <v>6177.6758446893091</v>
      </c>
      <c r="T51" s="4">
        <v>13.979544975890521</v>
      </c>
      <c r="U51" s="4">
        <v>5691.4942608803767</v>
      </c>
      <c r="V51" s="4">
        <v>4.7451222004197602</v>
      </c>
      <c r="W51" s="4">
        <v>0</v>
      </c>
    </row>
    <row r="52" spans="1:23" x14ac:dyDescent="0.3">
      <c r="A52" t="s">
        <v>97</v>
      </c>
      <c r="B52">
        <v>73238638.616890296</v>
      </c>
      <c r="C52" s="20">
        <v>14.647727723378059</v>
      </c>
      <c r="D52">
        <v>27914042.818567701</v>
      </c>
      <c r="E52" s="18">
        <v>8575.6094771664502</v>
      </c>
      <c r="F52" s="4">
        <v>59.929652298478601</v>
      </c>
      <c r="G52" s="4">
        <v>8076.8823351289175</v>
      </c>
      <c r="H52" s="4">
        <v>57.862067636021997</v>
      </c>
      <c r="I52" s="4">
        <v>8365.4934878036365</v>
      </c>
      <c r="J52" s="4">
        <v>58.734741368726603</v>
      </c>
      <c r="K52" s="4">
        <v>8241.1999903301839</v>
      </c>
      <c r="L52" s="4">
        <v>58.170352170888997</v>
      </c>
      <c r="M52" s="4">
        <v>8321.1590085960888</v>
      </c>
      <c r="N52" s="4">
        <v>57.294891365069603</v>
      </c>
      <c r="O52" s="4">
        <v>8448.3055725820377</v>
      </c>
      <c r="P52" s="4">
        <v>23.0306324561598</v>
      </c>
      <c r="Q52" s="4">
        <v>8565.3033859040606</v>
      </c>
      <c r="R52" s="4">
        <v>58.513898352994204</v>
      </c>
      <c r="S52" s="4">
        <v>8272.3039076959903</v>
      </c>
      <c r="T52" s="4">
        <v>58.513898352994204</v>
      </c>
      <c r="U52" s="4">
        <v>8272.3039076959903</v>
      </c>
      <c r="V52" s="4">
        <v>57.3877716166376</v>
      </c>
      <c r="W52" s="4">
        <v>0</v>
      </c>
    </row>
    <row r="53" spans="1:23" x14ac:dyDescent="0.3">
      <c r="A53" t="s">
        <v>99</v>
      </c>
      <c r="B53">
        <v>8149583.3149325997</v>
      </c>
      <c r="C53" s="5">
        <v>1.6299166629865198</v>
      </c>
      <c r="D53">
        <v>2731301.3268171898</v>
      </c>
      <c r="E53" s="18">
        <v>7540.7879738812171</v>
      </c>
      <c r="F53" s="4">
        <v>2.5314448000181202</v>
      </c>
      <c r="G53" s="4">
        <v>7452.759783608537</v>
      </c>
      <c r="H53" s="4">
        <v>2.5274119770650403</v>
      </c>
      <c r="I53" s="4">
        <v>7464.651656002854</v>
      </c>
      <c r="J53" s="4">
        <v>2.5503141187503999</v>
      </c>
      <c r="K53" s="4">
        <v>7397.6181448754496</v>
      </c>
      <c r="L53" s="4">
        <v>2.5471538938629399</v>
      </c>
      <c r="M53" s="4">
        <v>7406.7962856331342</v>
      </c>
      <c r="N53" s="4">
        <v>2.5274119770650403</v>
      </c>
      <c r="O53" s="4">
        <v>7464.651656002854</v>
      </c>
      <c r="P53" s="4">
        <v>2.3997687845348201</v>
      </c>
      <c r="Q53" s="4">
        <v>7861.6948939341491</v>
      </c>
      <c r="R53" s="4">
        <v>2.53569763646186</v>
      </c>
      <c r="S53" s="4">
        <v>7440.2601196271507</v>
      </c>
      <c r="T53" s="4">
        <v>2.5605219709245</v>
      </c>
      <c r="U53" s="4">
        <v>7368.1265828733212</v>
      </c>
      <c r="V53" s="4">
        <v>2.4841937842494199</v>
      </c>
      <c r="W53" s="4">
        <v>0</v>
      </c>
    </row>
    <row r="54" spans="1:23" x14ac:dyDescent="0.3">
      <c r="A54" t="s">
        <v>116</v>
      </c>
      <c r="B54">
        <v>0</v>
      </c>
      <c r="C54" s="5">
        <v>0</v>
      </c>
      <c r="D54">
        <v>0</v>
      </c>
      <c r="E54" s="18" t="e">
        <v>#DIV/0!</v>
      </c>
      <c r="F54" s="4">
        <v>0.40007565705562803</v>
      </c>
      <c r="G54" s="4">
        <v>5624.2243594239526</v>
      </c>
      <c r="H54" s="4">
        <v>0.62926866781399804</v>
      </c>
      <c r="I54" s="4">
        <v>5817.4674622160928</v>
      </c>
      <c r="J54" s="4">
        <v>0.62340898314760806</v>
      </c>
      <c r="K54" s="4">
        <v>5872.1482990456416</v>
      </c>
      <c r="L54" s="4">
        <v>0.63802467667130403</v>
      </c>
      <c r="M54" s="4">
        <v>5737.6307435299032</v>
      </c>
      <c r="N54" s="4" t="e">
        <v>#N/A</v>
      </c>
      <c r="O54" s="4" t="e">
        <v>#N/A</v>
      </c>
      <c r="P54" s="4">
        <v>3.98200268704294E-3</v>
      </c>
      <c r="Q54" s="4">
        <v>6290.8546490281287</v>
      </c>
      <c r="R54" s="4" t="e">
        <v>#N/A</v>
      </c>
      <c r="S54" s="4" t="e">
        <v>#N/A</v>
      </c>
      <c r="T54" s="4" t="e">
        <v>#N/A</v>
      </c>
      <c r="U54" s="4" t="e">
        <v>#N/A</v>
      </c>
      <c r="V54" s="4" t="e">
        <v>#N/A</v>
      </c>
      <c r="W54" s="4" t="e">
        <v>#N/A</v>
      </c>
    </row>
    <row r="55" spans="1:23" x14ac:dyDescent="0.3">
      <c r="A55" t="s">
        <v>114</v>
      </c>
      <c r="B55">
        <v>168860.0782627</v>
      </c>
      <c r="C55" s="5">
        <v>3.3772015652539997E-2</v>
      </c>
      <c r="D55">
        <v>59446.4800245796</v>
      </c>
      <c r="E55" s="18">
        <v>7921.0303247176425</v>
      </c>
      <c r="F55" s="4">
        <v>0.13702375888841259</v>
      </c>
      <c r="G55" s="4">
        <v>7963.9473391521551</v>
      </c>
      <c r="H55" s="4">
        <v>0.13723583031565759</v>
      </c>
      <c r="I55" s="4">
        <v>7951.6405991788315</v>
      </c>
      <c r="J55" s="4">
        <v>0.13730861135140859</v>
      </c>
      <c r="K55" s="4">
        <v>7947.425796967691</v>
      </c>
      <c r="L55" s="4">
        <v>0.13783855045530441</v>
      </c>
      <c r="M55" s="4">
        <v>7916.8708347223173</v>
      </c>
      <c r="N55" s="4">
        <v>0.1380177802133756</v>
      </c>
      <c r="O55" s="4">
        <v>7906.5899937886743</v>
      </c>
      <c r="P55" s="4">
        <v>1.0023548900200499E-2</v>
      </c>
      <c r="Q55" s="4">
        <v>7986.5259871361632</v>
      </c>
      <c r="R55" s="4" t="e">
        <v>#N/A</v>
      </c>
      <c r="S55" s="4" t="e">
        <v>#N/A</v>
      </c>
      <c r="T55" s="4" t="e">
        <v>#N/A</v>
      </c>
      <c r="U55" s="4" t="e">
        <v>#N/A</v>
      </c>
      <c r="V55" s="4" t="e">
        <v>#N/A</v>
      </c>
      <c r="W55" s="4" t="e">
        <v>#N/A</v>
      </c>
    </row>
    <row r="56" spans="1:23" x14ac:dyDescent="0.3">
      <c r="A56" t="s">
        <v>100</v>
      </c>
      <c r="B56">
        <v>604249.149856159</v>
      </c>
      <c r="C56" s="5">
        <v>0.1208498299712318</v>
      </c>
      <c r="D56">
        <v>98813.679872276902</v>
      </c>
      <c r="E56" s="18">
        <v>3679.4553995739789</v>
      </c>
      <c r="F56" s="4">
        <v>3.3851731886073</v>
      </c>
      <c r="G56" s="4">
        <v>3818.4900091678951</v>
      </c>
      <c r="H56" s="4">
        <v>0.25058438411114797</v>
      </c>
      <c r="I56" s="4">
        <v>3613.3601513856438</v>
      </c>
      <c r="J56" s="4">
        <v>3.4884571166937204</v>
      </c>
      <c r="K56" s="4">
        <v>3705.4346857648075</v>
      </c>
      <c r="L56" s="4">
        <v>0.21056270214873998</v>
      </c>
      <c r="M56" s="4">
        <v>3731.3939708325979</v>
      </c>
      <c r="N56" s="4">
        <v>3.4884571166937204</v>
      </c>
      <c r="O56" s="4">
        <v>3705.4346857648075</v>
      </c>
      <c r="P56" s="4">
        <v>3.5281072913395799</v>
      </c>
      <c r="Q56" s="4">
        <v>3663.7916402740852</v>
      </c>
      <c r="R56" s="4">
        <v>3.4884571166937204</v>
      </c>
      <c r="S56" s="4">
        <v>3705.4346857648075</v>
      </c>
      <c r="T56" s="4">
        <v>3.5029113720426404</v>
      </c>
      <c r="U56" s="4">
        <v>3690.1447473569283</v>
      </c>
      <c r="V56" s="4">
        <v>3.50008212896382</v>
      </c>
      <c r="W56" s="4">
        <v>0</v>
      </c>
    </row>
    <row r="57" spans="1:23" x14ac:dyDescent="0.3">
      <c r="A57" t="s">
        <v>102</v>
      </c>
      <c r="B57">
        <v>1197.99394499</v>
      </c>
      <c r="C57" s="5">
        <v>2.3959878899800001E-4</v>
      </c>
      <c r="D57">
        <v>426.72256338772598</v>
      </c>
      <c r="E57" s="18">
        <v>8014.445912999985</v>
      </c>
      <c r="F57" s="4">
        <v>6.0093125250481005</v>
      </c>
      <c r="G57" s="4">
        <v>7682.3263572284386</v>
      </c>
      <c r="H57" s="4">
        <v>6.0461978134925793</v>
      </c>
      <c r="I57" s="4">
        <v>7635.4597424811254</v>
      </c>
      <c r="J57" s="4">
        <v>6.1200605510295398</v>
      </c>
      <c r="K57" s="4">
        <v>7543.3077197632319</v>
      </c>
      <c r="L57" s="4">
        <v>6.1260848412982201</v>
      </c>
      <c r="M57" s="4">
        <v>7535.8897560120568</v>
      </c>
      <c r="N57" s="4">
        <v>6.0290931798382204</v>
      </c>
      <c r="O57" s="4">
        <v>7657.1216637323168</v>
      </c>
      <c r="P57" s="4">
        <v>0.24308930997102801</v>
      </c>
      <c r="Q57" s="4">
        <v>7257.7780321083192</v>
      </c>
      <c r="R57" s="4">
        <v>5.95895206752538</v>
      </c>
      <c r="S57" s="4">
        <v>7747.2514423448793</v>
      </c>
      <c r="T57" s="4">
        <v>5.95895206752538</v>
      </c>
      <c r="U57" s="4">
        <v>7747.2514423448793</v>
      </c>
      <c r="V57" s="4">
        <v>6.34421506351954</v>
      </c>
      <c r="W57" s="4">
        <v>0</v>
      </c>
    </row>
    <row r="58" spans="1:23" x14ac:dyDescent="0.3">
      <c r="A58" t="s">
        <v>130</v>
      </c>
      <c r="B58">
        <v>0</v>
      </c>
      <c r="C58" s="20">
        <v>0</v>
      </c>
      <c r="D58">
        <v>0</v>
      </c>
      <c r="E58" s="18" t="e">
        <v>#DIV/0!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 t="e">
        <v>#N/A</v>
      </c>
      <c r="O58" s="4" t="e">
        <v>#N/A</v>
      </c>
      <c r="P58" s="4" t="e">
        <v>#N/A</v>
      </c>
      <c r="Q58" s="4" t="e">
        <v>#N/A</v>
      </c>
      <c r="R58" s="4" t="e">
        <v>#N/A</v>
      </c>
      <c r="S58" s="4" t="e">
        <v>#N/A</v>
      </c>
      <c r="T58" s="4" t="e">
        <v>#N/A</v>
      </c>
      <c r="U58" s="4" t="e">
        <v>#N/A</v>
      </c>
      <c r="V58" s="4" t="e">
        <v>#N/A</v>
      </c>
      <c r="W58" s="4" t="e">
        <v>#N/A</v>
      </c>
    </row>
    <row r="59" spans="1:23" x14ac:dyDescent="0.3">
      <c r="A59" t="s">
        <v>133</v>
      </c>
      <c r="B59">
        <v>0</v>
      </c>
      <c r="C59" s="5">
        <v>0</v>
      </c>
      <c r="D59">
        <v>0</v>
      </c>
      <c r="E59" s="18" t="e">
        <v>#DIV/0!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 t="e">
        <v>#N/A</v>
      </c>
      <c r="O59" s="4" t="e">
        <v>#N/A</v>
      </c>
      <c r="P59" s="4" t="e">
        <v>#N/A</v>
      </c>
      <c r="Q59" s="4" t="e">
        <v>#N/A</v>
      </c>
      <c r="R59" s="4" t="e">
        <v>#N/A</v>
      </c>
      <c r="S59" s="4" t="e">
        <v>#N/A</v>
      </c>
      <c r="T59" s="4" t="e">
        <v>#N/A</v>
      </c>
      <c r="U59" s="4" t="e">
        <v>#N/A</v>
      </c>
      <c r="V59" s="4" t="e">
        <v>#N/A</v>
      </c>
      <c r="W59" s="4" t="e">
        <v>#N/A</v>
      </c>
    </row>
    <row r="60" spans="1:23" x14ac:dyDescent="0.3">
      <c r="A60" t="s">
        <v>103</v>
      </c>
      <c r="B60">
        <v>95547.165859949993</v>
      </c>
      <c r="C60" s="5">
        <v>1.9109433171989997E-2</v>
      </c>
      <c r="D60">
        <v>14292.386469790399</v>
      </c>
      <c r="E60" s="18">
        <v>3365.6539435365762</v>
      </c>
      <c r="F60" s="4">
        <v>23.941710925793199</v>
      </c>
      <c r="G60" s="4">
        <v>3584.901211955902</v>
      </c>
      <c r="H60" s="4">
        <v>0.87665836877795611</v>
      </c>
      <c r="I60" s="4">
        <v>3173.6832421195904</v>
      </c>
      <c r="J60" s="4">
        <v>57.077016132336198</v>
      </c>
      <c r="K60" s="4">
        <v>3214.3411206820324</v>
      </c>
      <c r="L60" s="4">
        <v>0.77087019394411205</v>
      </c>
      <c r="M60" s="4">
        <v>3347.4782776241004</v>
      </c>
      <c r="N60" s="4">
        <v>57.077016132336198</v>
      </c>
      <c r="O60" s="4">
        <v>3214.3411206820324</v>
      </c>
      <c r="P60" s="4">
        <v>58.358356505038998</v>
      </c>
      <c r="Q60" s="4">
        <v>3143.765708757719</v>
      </c>
      <c r="R60" s="4">
        <v>57.077016132336198</v>
      </c>
      <c r="S60" s="4">
        <v>3214.3411206820324</v>
      </c>
      <c r="T60" s="4">
        <v>57.077016132336198</v>
      </c>
      <c r="U60" s="4">
        <v>3214.3411206820324</v>
      </c>
      <c r="V60" s="4">
        <v>57.077016132336198</v>
      </c>
      <c r="W60" s="4">
        <v>0</v>
      </c>
    </row>
    <row r="61" spans="1:23" x14ac:dyDescent="0.3">
      <c r="A61" t="s">
        <v>105</v>
      </c>
      <c r="B61">
        <v>108543515.00227299</v>
      </c>
      <c r="C61" s="5">
        <v>21.708703000454598</v>
      </c>
      <c r="D61">
        <v>24834843.758923098</v>
      </c>
      <c r="E61" s="18">
        <v>5148.0181433600001</v>
      </c>
      <c r="F61" s="4">
        <v>25.344536794801201</v>
      </c>
      <c r="G61" s="4">
        <v>5083.3162810705899</v>
      </c>
      <c r="H61" s="4">
        <v>30.4989716842992</v>
      </c>
      <c r="I61" s="4">
        <v>5079.0422794011438</v>
      </c>
      <c r="J61" s="4">
        <v>229.12948933920399</v>
      </c>
      <c r="K61" s="4">
        <v>5120.6885389730087</v>
      </c>
      <c r="L61" s="4">
        <v>22.314268355453802</v>
      </c>
      <c r="M61" s="4">
        <v>5132.0540623375955</v>
      </c>
      <c r="N61" s="4">
        <v>229.12948933920399</v>
      </c>
      <c r="O61" s="4">
        <v>5120.6885389730087</v>
      </c>
      <c r="P61" s="4">
        <v>229.12948933920399</v>
      </c>
      <c r="Q61" s="4">
        <v>5120.6885389730087</v>
      </c>
      <c r="R61" s="4">
        <v>122.7221269353584</v>
      </c>
      <c r="S61" s="4">
        <v>4868.1931599342124</v>
      </c>
      <c r="T61" s="4">
        <v>122.7221269353584</v>
      </c>
      <c r="U61" s="4">
        <v>4868.1931599342124</v>
      </c>
      <c r="V61" s="4">
        <v>122.7221269353584</v>
      </c>
      <c r="W61" s="4">
        <v>0</v>
      </c>
    </row>
    <row r="62" spans="1:23" x14ac:dyDescent="0.3">
      <c r="A62" t="s">
        <v>122</v>
      </c>
      <c r="B62">
        <v>771173.03674732998</v>
      </c>
      <c r="C62" s="5">
        <v>0.15423460734946601</v>
      </c>
      <c r="D62">
        <v>210310.11292319899</v>
      </c>
      <c r="E62" s="18">
        <v>6136.0775277240145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 t="e">
        <v>#N/A</v>
      </c>
      <c r="S62" s="4" t="e">
        <v>#N/A</v>
      </c>
      <c r="T62" s="4" t="e">
        <v>#N/A</v>
      </c>
      <c r="U62" s="4" t="e">
        <v>#N/A</v>
      </c>
      <c r="V62" s="4" t="e">
        <v>#N/A</v>
      </c>
      <c r="W62" s="4" t="e">
        <v>#N/A</v>
      </c>
    </row>
    <row r="63" spans="1:23" x14ac:dyDescent="0.3">
      <c r="A63" t="s">
        <v>124</v>
      </c>
      <c r="B63">
        <v>0</v>
      </c>
      <c r="C63" s="5">
        <v>0</v>
      </c>
      <c r="D63">
        <v>0</v>
      </c>
      <c r="E63" s="18" t="e">
        <v>#DIV/0!</v>
      </c>
      <c r="F63" s="4">
        <v>1.2157444940084159</v>
      </c>
      <c r="G63" s="4">
        <v>5803.8510844789034</v>
      </c>
      <c r="H63" s="4">
        <v>1.2353836804185401</v>
      </c>
      <c r="I63" s="4">
        <v>5711.585891768842</v>
      </c>
      <c r="J63" s="4">
        <v>1.215575789212634</v>
      </c>
      <c r="K63" s="4">
        <v>5804.6565772508429</v>
      </c>
      <c r="L63" s="4">
        <v>1.220721843714242</v>
      </c>
      <c r="M63" s="4">
        <v>5780.1865644764639</v>
      </c>
      <c r="N63" s="4">
        <v>1.145295801063106</v>
      </c>
      <c r="O63" s="4">
        <v>6160.8538103871151</v>
      </c>
      <c r="P63" s="4">
        <v>4.2295735269254403E-3</v>
      </c>
      <c r="Q63" s="4">
        <v>5810.2089602086471</v>
      </c>
      <c r="R63" s="4" t="e">
        <v>#N/A</v>
      </c>
      <c r="S63" s="4" t="e">
        <v>#N/A</v>
      </c>
      <c r="T63" s="4" t="e">
        <v>#N/A</v>
      </c>
      <c r="U63" s="4" t="e">
        <v>#N/A</v>
      </c>
      <c r="V63" s="4" t="e">
        <v>#N/A</v>
      </c>
      <c r="W63" s="4" t="e">
        <v>#N/A</v>
      </c>
    </row>
    <row r="64" spans="1:23" x14ac:dyDescent="0.3">
      <c r="A64" t="s">
        <v>142</v>
      </c>
      <c r="B64">
        <v>0</v>
      </c>
      <c r="C64" s="20">
        <v>0</v>
      </c>
      <c r="D64">
        <v>0</v>
      </c>
      <c r="E64" s="18" t="e">
        <v>#DIV/0!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 t="e">
        <v>#N/A</v>
      </c>
      <c r="O64" s="4" t="e">
        <v>#N/A</v>
      </c>
      <c r="P64" s="4" t="e">
        <v>#N/A</v>
      </c>
      <c r="Q64" s="4" t="e">
        <v>#N/A</v>
      </c>
      <c r="R64" s="4" t="e">
        <v>#N/A</v>
      </c>
      <c r="S64" s="4" t="e">
        <v>#N/A</v>
      </c>
      <c r="T64" s="4" t="e">
        <v>#N/A</v>
      </c>
      <c r="U64" s="4" t="e">
        <v>#N/A</v>
      </c>
      <c r="V64" s="4" t="e">
        <v>#N/A</v>
      </c>
      <c r="W64" s="4" t="e">
        <v>#N/A</v>
      </c>
    </row>
    <row r="65" spans="1:23" x14ac:dyDescent="0.3">
      <c r="A65" t="s">
        <v>126</v>
      </c>
      <c r="B65">
        <v>0</v>
      </c>
      <c r="C65" s="5">
        <v>0</v>
      </c>
      <c r="D65">
        <v>0</v>
      </c>
      <c r="E65" s="18" t="e">
        <v>#DIV/0!</v>
      </c>
      <c r="F65" s="4">
        <v>2.4805359143043599</v>
      </c>
      <c r="G65" s="4">
        <v>5333.4103099102331</v>
      </c>
      <c r="H65" s="4">
        <v>4.5230240394726797</v>
      </c>
      <c r="I65" s="4">
        <v>5492.748751129554</v>
      </c>
      <c r="J65" s="4">
        <v>5.7763282211764198</v>
      </c>
      <c r="K65" s="4">
        <v>5607.5414622826138</v>
      </c>
      <c r="L65" s="4">
        <v>2.1467177201697201</v>
      </c>
      <c r="M65" s="4">
        <v>5578.6390224630113</v>
      </c>
      <c r="N65" s="4">
        <v>2.4805359143043599</v>
      </c>
      <c r="O65" s="4">
        <v>5333.4103099102331</v>
      </c>
      <c r="P65" s="4">
        <v>0.951235707789444</v>
      </c>
      <c r="Q65" s="4">
        <v>5565.7814060157143</v>
      </c>
      <c r="R65" s="4" t="e">
        <v>#N/A</v>
      </c>
      <c r="S65" s="4" t="e">
        <v>#N/A</v>
      </c>
      <c r="T65" s="4" t="e">
        <v>#N/A</v>
      </c>
      <c r="U65" s="4" t="e">
        <v>#N/A</v>
      </c>
      <c r="V65" s="4" t="e">
        <v>#N/A</v>
      </c>
      <c r="W65" s="4" t="e">
        <v>#N/A</v>
      </c>
    </row>
    <row r="66" spans="1:23" x14ac:dyDescent="0.3">
      <c r="A66" t="s">
        <v>106</v>
      </c>
      <c r="B66">
        <v>357168271.84743601</v>
      </c>
      <c r="C66" s="5">
        <v>71.433654369487201</v>
      </c>
      <c r="D66">
        <v>65322544.337968998</v>
      </c>
      <c r="E66" s="18">
        <v>4115.0274631115826</v>
      </c>
      <c r="F66" s="4">
        <v>124.8102114413358</v>
      </c>
      <c r="G66" s="4">
        <v>4116.782283272456</v>
      </c>
      <c r="H66" s="4">
        <v>191.27219573305319</v>
      </c>
      <c r="I66" s="4">
        <v>4042.8608975114362</v>
      </c>
      <c r="J66" s="4">
        <v>73.552564668328998</v>
      </c>
      <c r="K66" s="4">
        <v>4112.5112478695455</v>
      </c>
      <c r="L66" s="4">
        <v>71.854307716152803</v>
      </c>
      <c r="M66" s="4">
        <v>4109.0886345611671</v>
      </c>
      <c r="N66" s="4">
        <v>73.552564668328998</v>
      </c>
      <c r="O66" s="4">
        <v>4112.5112478695455</v>
      </c>
      <c r="P66" s="4">
        <v>73.552564668328998</v>
      </c>
      <c r="Q66" s="4">
        <v>4112.5112478695455</v>
      </c>
      <c r="R66" s="4">
        <v>73.552564668328998</v>
      </c>
      <c r="S66" s="4">
        <v>4112.5112478695455</v>
      </c>
      <c r="T66" s="4">
        <v>73.552564668328998</v>
      </c>
      <c r="U66" s="4">
        <v>4112.5112478695455</v>
      </c>
      <c r="V66" s="4">
        <v>73.552564668328998</v>
      </c>
      <c r="W66" s="4">
        <v>0</v>
      </c>
    </row>
    <row r="67" spans="1:23" x14ac:dyDescent="0.3">
      <c r="A67" t="s">
        <v>107</v>
      </c>
      <c r="B67">
        <v>636365.41223499901</v>
      </c>
      <c r="C67" s="5">
        <v>0.12727308244699981</v>
      </c>
      <c r="D67">
        <v>198188.92254727299</v>
      </c>
      <c r="E67" s="18">
        <v>7007.3744920424997</v>
      </c>
      <c r="F67" s="4">
        <v>7.6912901551906598</v>
      </c>
      <c r="G67" s="4">
        <v>7099.6216367091911</v>
      </c>
      <c r="H67" s="4">
        <v>7.7286350416510405</v>
      </c>
      <c r="I67" s="4">
        <v>7065.3161529457957</v>
      </c>
      <c r="J67" s="4">
        <v>7.8474326674385209</v>
      </c>
      <c r="K67" s="4">
        <v>6958.3585248936824</v>
      </c>
      <c r="L67" s="4">
        <v>7.9287707558999401</v>
      </c>
      <c r="M67" s="4">
        <v>6886.9755074413342</v>
      </c>
      <c r="N67" s="4">
        <v>7.6658993349546192</v>
      </c>
      <c r="O67" s="4">
        <v>7123.1368446247998</v>
      </c>
      <c r="P67" s="4">
        <v>2.8529163491092997</v>
      </c>
      <c r="Q67" s="4">
        <v>6481.5122488455409</v>
      </c>
      <c r="R67" s="4">
        <v>7.3288366907236995</v>
      </c>
      <c r="S67" s="4">
        <v>7450.7390878438937</v>
      </c>
      <c r="T67" s="4">
        <v>7.3288366907236995</v>
      </c>
      <c r="U67" s="4">
        <v>7450.7390878438937</v>
      </c>
      <c r="V67" s="4">
        <v>7.3881028283110197</v>
      </c>
      <c r="W67" s="4">
        <v>0</v>
      </c>
    </row>
    <row r="68" spans="1:23" x14ac:dyDescent="0.3">
      <c r="A68" t="s">
        <v>131</v>
      </c>
      <c r="B68">
        <v>0</v>
      </c>
      <c r="C68" s="5">
        <v>0</v>
      </c>
      <c r="D68">
        <v>0</v>
      </c>
      <c r="E68" s="18" t="e">
        <v>#DIV/0!</v>
      </c>
      <c r="F68" s="4">
        <v>7.5865902639414201E-2</v>
      </c>
      <c r="G68" s="4">
        <v>6850.9037910000052</v>
      </c>
      <c r="H68" s="4">
        <v>0</v>
      </c>
      <c r="I68" s="4">
        <v>0</v>
      </c>
      <c r="J68" s="4">
        <v>4.6538179677734201E-2</v>
      </c>
      <c r="K68" s="4">
        <v>6850.9037910000206</v>
      </c>
      <c r="L68" s="4">
        <v>9.1909812402343593E-3</v>
      </c>
      <c r="M68" s="4">
        <v>6850.9037909999824</v>
      </c>
      <c r="N68" s="4">
        <v>4.6538179677734201E-2</v>
      </c>
      <c r="O68" s="4">
        <v>6850.9037910000206</v>
      </c>
      <c r="P68" s="4">
        <v>0</v>
      </c>
      <c r="Q68" s="4">
        <v>0</v>
      </c>
      <c r="R68" s="4" t="e">
        <v>#N/A</v>
      </c>
      <c r="S68" s="4" t="e">
        <v>#N/A</v>
      </c>
      <c r="T68" s="4" t="e">
        <v>#N/A</v>
      </c>
      <c r="U68" s="4" t="e">
        <v>#N/A</v>
      </c>
      <c r="V68" s="4" t="e">
        <v>#N/A</v>
      </c>
      <c r="W68" s="4" t="e">
        <v>#N/A</v>
      </c>
    </row>
    <row r="69" spans="1:23" x14ac:dyDescent="0.3">
      <c r="A69" t="s">
        <v>108</v>
      </c>
      <c r="B69">
        <v>20918809.792504601</v>
      </c>
      <c r="C69" s="5">
        <v>4.18376195850092</v>
      </c>
      <c r="D69">
        <v>5561359.2888554502</v>
      </c>
      <c r="E69" s="18">
        <v>5981.7257884376895</v>
      </c>
      <c r="F69" s="4">
        <v>16.674568852307541</v>
      </c>
      <c r="G69" s="4">
        <v>6704.5661564154298</v>
      </c>
      <c r="H69" s="4">
        <v>6.8619057488689394</v>
      </c>
      <c r="I69" s="4">
        <v>5892.6654543033856</v>
      </c>
      <c r="J69" s="4">
        <v>18.134374336353261</v>
      </c>
      <c r="K69" s="4">
        <v>6164.8528880253389</v>
      </c>
      <c r="L69" s="4">
        <v>5.3716829433389002</v>
      </c>
      <c r="M69" s="4">
        <v>6073.6486100420734</v>
      </c>
      <c r="N69" s="4">
        <v>18.134374336353261</v>
      </c>
      <c r="O69" s="4">
        <v>6164.8528880253389</v>
      </c>
      <c r="P69" s="4">
        <v>16.028592336748918</v>
      </c>
      <c r="Q69" s="4">
        <v>6365.6668226508373</v>
      </c>
      <c r="R69" s="4">
        <v>18.000638731556339</v>
      </c>
      <c r="S69" s="4">
        <v>6210.6546143839896</v>
      </c>
      <c r="T69" s="4">
        <v>16.674568852307541</v>
      </c>
      <c r="U69" s="4">
        <v>6704.5661564154298</v>
      </c>
      <c r="V69" s="4">
        <v>16.674568852307541</v>
      </c>
      <c r="W69" s="4">
        <v>0</v>
      </c>
    </row>
    <row r="70" spans="1:23" x14ac:dyDescent="0.3">
      <c r="A70" t="s">
        <v>135</v>
      </c>
      <c r="B70">
        <v>416420.21185399999</v>
      </c>
      <c r="C70" s="20">
        <v>8.3284042370800004E-2</v>
      </c>
      <c r="D70">
        <v>143891.33317704001</v>
      </c>
      <c r="E70" s="18">
        <v>7774.730679063462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 t="e">
        <v>#N/A</v>
      </c>
      <c r="S70" s="4" t="e">
        <v>#N/A</v>
      </c>
      <c r="T70" s="4" t="e">
        <v>#N/A</v>
      </c>
      <c r="U70" s="4" t="e">
        <v>#N/A</v>
      </c>
      <c r="V70" s="4" t="e">
        <v>#N/A</v>
      </c>
      <c r="W70" s="4" t="e">
        <v>#N/A</v>
      </c>
    </row>
    <row r="71" spans="1:23" x14ac:dyDescent="0.3">
      <c r="A71" t="s">
        <v>109</v>
      </c>
      <c r="B71">
        <v>2508934.424509</v>
      </c>
      <c r="C71" s="5">
        <v>0.50178688490180001</v>
      </c>
      <c r="D71">
        <v>830743.46671208902</v>
      </c>
      <c r="E71" s="18">
        <v>7450.0663781517469</v>
      </c>
      <c r="F71" s="4">
        <v>4.5458246918027996</v>
      </c>
      <c r="G71" s="4">
        <v>7013.5788688665689</v>
      </c>
      <c r="H71" s="4">
        <v>4.7134641189858</v>
      </c>
      <c r="I71" s="4">
        <v>6764.133383677944</v>
      </c>
      <c r="J71" s="4">
        <v>4.59570102191618</v>
      </c>
      <c r="K71" s="4">
        <v>6937.4617382543684</v>
      </c>
      <c r="L71" s="4">
        <v>4.56524643060252</v>
      </c>
      <c r="M71" s="4">
        <v>6983.7412907833132</v>
      </c>
      <c r="N71" s="4">
        <v>4.7134641189858</v>
      </c>
      <c r="O71" s="4">
        <v>6764.133383677944</v>
      </c>
      <c r="P71" s="4">
        <v>1.4676269611620321</v>
      </c>
      <c r="Q71" s="4">
        <v>6989.6747453818498</v>
      </c>
      <c r="R71" s="4">
        <v>3.8798497428421199</v>
      </c>
      <c r="S71" s="4">
        <v>7151.2387889298725</v>
      </c>
      <c r="T71" s="4">
        <v>4.64847728111992</v>
      </c>
      <c r="U71" s="4">
        <v>6858.6976060940888</v>
      </c>
      <c r="V71" s="4">
        <v>1.407909965191898</v>
      </c>
      <c r="W71" s="4">
        <v>0</v>
      </c>
    </row>
    <row r="72" spans="1:23" x14ac:dyDescent="0.3">
      <c r="A72" t="s">
        <v>143</v>
      </c>
      <c r="B72">
        <v>0</v>
      </c>
      <c r="C72" s="5">
        <v>0</v>
      </c>
      <c r="D72">
        <v>0</v>
      </c>
      <c r="E72" s="18" t="e">
        <v>#DIV/0!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 t="e">
        <v>#N/A</v>
      </c>
      <c r="O72" s="4" t="e">
        <v>#N/A</v>
      </c>
      <c r="P72" s="4">
        <v>0</v>
      </c>
      <c r="Q72" s="4">
        <v>0</v>
      </c>
      <c r="R72" s="4" t="e">
        <v>#N/A</v>
      </c>
      <c r="S72" s="4" t="e">
        <v>#N/A</v>
      </c>
      <c r="T72" s="4" t="e">
        <v>#N/A</v>
      </c>
      <c r="U72" s="4" t="e">
        <v>#N/A</v>
      </c>
      <c r="V72" s="4" t="e">
        <v>#N/A</v>
      </c>
      <c r="W72" s="4" t="e">
        <v>#N/A</v>
      </c>
    </row>
    <row r="73" spans="1:23" x14ac:dyDescent="0.3">
      <c r="A73" t="s">
        <v>145</v>
      </c>
      <c r="B73">
        <v>0</v>
      </c>
      <c r="C73" s="5">
        <v>0</v>
      </c>
      <c r="D73">
        <v>0</v>
      </c>
      <c r="E73" s="18" t="e">
        <v>#DIV/0!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 t="e">
        <v>#N/A</v>
      </c>
      <c r="O73" s="4" t="e">
        <v>#N/A</v>
      </c>
      <c r="P73" s="4">
        <v>0</v>
      </c>
      <c r="Q73" s="4">
        <v>0</v>
      </c>
      <c r="R73" s="4" t="e">
        <v>#N/A</v>
      </c>
      <c r="S73" s="4" t="e">
        <v>#N/A</v>
      </c>
      <c r="T73" s="4" t="e">
        <v>#N/A</v>
      </c>
      <c r="U73" s="4" t="e">
        <v>#N/A</v>
      </c>
      <c r="V73" s="4" t="e">
        <v>#N/A</v>
      </c>
      <c r="W73" s="4" t="e">
        <v>#N/A</v>
      </c>
    </row>
    <row r="74" spans="1:23" x14ac:dyDescent="0.3">
      <c r="A74" t="s">
        <v>138</v>
      </c>
      <c r="B74">
        <v>0</v>
      </c>
      <c r="C74" s="5">
        <v>0</v>
      </c>
      <c r="D74">
        <v>0</v>
      </c>
      <c r="E74" s="18" t="e">
        <v>#DIV/0!</v>
      </c>
      <c r="F74" s="4">
        <v>0.47607028995565798</v>
      </c>
      <c r="G74" s="4">
        <v>6427.6222746120411</v>
      </c>
      <c r="H74" s="4">
        <v>0.48337906908822004</v>
      </c>
      <c r="I74" s="4">
        <v>6330.4354608733056</v>
      </c>
      <c r="J74" s="4">
        <v>0.49007186577418399</v>
      </c>
      <c r="K74" s="4">
        <v>6243.9821865024005</v>
      </c>
      <c r="L74" s="4">
        <v>0.48559561977464399</v>
      </c>
      <c r="M74" s="4">
        <v>6301.5395431698698</v>
      </c>
      <c r="N74" s="4">
        <v>0.48337906908822004</v>
      </c>
      <c r="O74" s="4">
        <v>6330.4354608733056</v>
      </c>
      <c r="P74" s="4">
        <v>0.50129168355146003</v>
      </c>
      <c r="Q74" s="4">
        <v>6104.2305316558804</v>
      </c>
      <c r="R74" s="4" t="e">
        <v>#N/A</v>
      </c>
      <c r="S74" s="4" t="e">
        <v>#N/A</v>
      </c>
      <c r="T74" s="4" t="e">
        <v>#N/A</v>
      </c>
      <c r="U74" s="4" t="e">
        <v>#N/A</v>
      </c>
      <c r="V74" s="4" t="e">
        <v>#N/A</v>
      </c>
      <c r="W74" s="4" t="e">
        <v>#N/A</v>
      </c>
    </row>
    <row r="75" spans="1:23" x14ac:dyDescent="0.3">
      <c r="A75" t="s">
        <v>140</v>
      </c>
      <c r="B75">
        <v>0</v>
      </c>
      <c r="C75" s="5">
        <v>0</v>
      </c>
      <c r="D75">
        <v>0</v>
      </c>
      <c r="E75" s="18" t="e">
        <v>#DIV/0!</v>
      </c>
      <c r="F75" s="4">
        <v>0.24092872968881601</v>
      </c>
      <c r="G75" s="4">
        <v>7741.9160529720148</v>
      </c>
      <c r="H75" s="4">
        <v>0.240129804042328</v>
      </c>
      <c r="I75" s="4">
        <v>7767.6738522270634</v>
      </c>
      <c r="J75" s="4">
        <v>0.24103623538694602</v>
      </c>
      <c r="K75" s="4">
        <v>7738.4630448016769</v>
      </c>
      <c r="L75" s="4">
        <v>0.242710701820574</v>
      </c>
      <c r="M75" s="4">
        <v>7685.0752192167538</v>
      </c>
      <c r="N75" s="4">
        <v>0.240129804042328</v>
      </c>
      <c r="O75" s="4">
        <v>7767.6738522270634</v>
      </c>
      <c r="P75" s="4">
        <v>0.241567605004192</v>
      </c>
      <c r="Q75" s="4">
        <v>7721.4409604616958</v>
      </c>
      <c r="R75" s="4" t="e">
        <v>#N/A</v>
      </c>
      <c r="S75" s="4" t="e">
        <v>#N/A</v>
      </c>
      <c r="T75" s="4" t="e">
        <v>#N/A</v>
      </c>
      <c r="U75" s="4" t="e">
        <v>#N/A</v>
      </c>
      <c r="V75" s="4" t="e">
        <v>#N/A</v>
      </c>
      <c r="W75" s="4" t="e">
        <v>#N/A</v>
      </c>
    </row>
    <row r="76" spans="1:23" x14ac:dyDescent="0.3">
      <c r="A76" t="s">
        <v>110</v>
      </c>
      <c r="B76">
        <v>14495436.050006799</v>
      </c>
      <c r="C76" s="20">
        <v>2.89908721000136</v>
      </c>
      <c r="D76">
        <v>4848890.2024233099</v>
      </c>
      <c r="E76" s="18">
        <v>7526.5089769047208</v>
      </c>
      <c r="F76" s="4">
        <v>3.82281150710162</v>
      </c>
      <c r="G76" s="4">
        <v>6998.1216573984757</v>
      </c>
      <c r="H76" s="4">
        <v>3.9374261456240198</v>
      </c>
      <c r="I76" s="4">
        <v>6794.4131548301457</v>
      </c>
      <c r="J76" s="4">
        <v>3.9177209177421601</v>
      </c>
      <c r="K76" s="4">
        <v>6828.5874776955297</v>
      </c>
      <c r="L76" s="4">
        <v>3.8929944664522798</v>
      </c>
      <c r="M76" s="4">
        <v>6871.9594210930745</v>
      </c>
      <c r="N76" s="4">
        <v>3.9374261456240198</v>
      </c>
      <c r="O76" s="4">
        <v>6794.4131548301457</v>
      </c>
      <c r="P76" s="4">
        <v>3.6203372258060997</v>
      </c>
      <c r="Q76" s="4">
        <v>7389.5049912217146</v>
      </c>
      <c r="R76" s="4">
        <v>3.7659290477412202</v>
      </c>
      <c r="S76" s="4">
        <v>7103.8247563495588</v>
      </c>
      <c r="T76" s="4">
        <v>3.7659290477412202</v>
      </c>
      <c r="U76" s="4">
        <v>7103.8247563495588</v>
      </c>
      <c r="V76" s="4">
        <v>3.6177037027336003</v>
      </c>
      <c r="W76" s="4">
        <v>0</v>
      </c>
    </row>
    <row r="77" spans="1:23" x14ac:dyDescent="0.3">
      <c r="A77" t="s">
        <v>111</v>
      </c>
      <c r="B77">
        <v>32052953.436020002</v>
      </c>
      <c r="C77" s="5">
        <v>6.4105906872040004</v>
      </c>
      <c r="D77">
        <v>6760521.8373746704</v>
      </c>
      <c r="E77" s="18">
        <v>4745.6388580402127</v>
      </c>
      <c r="F77" s="4">
        <v>5.1825636824184995</v>
      </c>
      <c r="G77" s="4">
        <v>4742.81355977774</v>
      </c>
      <c r="H77" s="4">
        <v>7.9563973872052003</v>
      </c>
      <c r="I77" s="4">
        <v>4763.8903697606902</v>
      </c>
      <c r="J77" s="4">
        <v>16.699666304933618</v>
      </c>
      <c r="K77" s="4">
        <v>4789.2274336267283</v>
      </c>
      <c r="L77" s="4">
        <v>6.5190687189684198</v>
      </c>
      <c r="M77" s="4">
        <v>4759.610482191837</v>
      </c>
      <c r="N77" s="4">
        <v>16.699666304933618</v>
      </c>
      <c r="O77" s="4">
        <v>4789.2274336267283</v>
      </c>
      <c r="P77" s="4">
        <v>16.7859732224927</v>
      </c>
      <c r="Q77" s="4">
        <v>4764.603096878006</v>
      </c>
      <c r="R77" s="4">
        <v>16.40501973834656</v>
      </c>
      <c r="S77" s="4">
        <v>4762.7568669898437</v>
      </c>
      <c r="T77" s="4">
        <v>5.3979400458056599</v>
      </c>
      <c r="U77" s="4">
        <v>4710.423175540589</v>
      </c>
      <c r="V77" s="4">
        <v>16.7859732224927</v>
      </c>
      <c r="W77" s="4">
        <v>0</v>
      </c>
    </row>
    <row r="78" spans="1:23" x14ac:dyDescent="0.3">
      <c r="A78" t="s">
        <v>147</v>
      </c>
      <c r="B78">
        <v>0</v>
      </c>
      <c r="C78" s="5">
        <v>0</v>
      </c>
      <c r="D78">
        <v>0</v>
      </c>
      <c r="E78" s="18" t="e">
        <v>#DIV/0!</v>
      </c>
      <c r="F78" s="4">
        <v>9.33969905316496</v>
      </c>
      <c r="G78" s="4">
        <v>2859.6480877904387</v>
      </c>
      <c r="H78" s="4">
        <v>0.28853324869923003</v>
      </c>
      <c r="I78" s="4">
        <v>2890.6209146018373</v>
      </c>
      <c r="J78" s="4">
        <v>15.981018709293942</v>
      </c>
      <c r="K78" s="4">
        <v>2850.1937722850216</v>
      </c>
      <c r="L78" s="4">
        <v>0.75354230323949201</v>
      </c>
      <c r="M78" s="4">
        <v>2829.6711562223772</v>
      </c>
      <c r="N78" s="4">
        <v>15.981018709293942</v>
      </c>
      <c r="O78" s="4">
        <v>2850.1937722850216</v>
      </c>
      <c r="P78" s="4">
        <v>4.95239931110412</v>
      </c>
      <c r="Q78" s="4">
        <v>2827.3779146027423</v>
      </c>
      <c r="R78" s="4" t="e">
        <v>#N/A</v>
      </c>
      <c r="S78" s="4" t="e">
        <v>#N/A</v>
      </c>
      <c r="T78" s="4" t="e">
        <v>#N/A</v>
      </c>
      <c r="U78" s="4" t="e">
        <v>#N/A</v>
      </c>
      <c r="V78" s="4" t="e">
        <v>#N/A</v>
      </c>
      <c r="W78" s="4" t="e">
        <v>#N/A</v>
      </c>
    </row>
    <row r="79" spans="1:23" x14ac:dyDescent="0.3">
      <c r="A79" t="s">
        <v>112</v>
      </c>
      <c r="B79">
        <v>1064047208.44526</v>
      </c>
      <c r="C79" s="5">
        <v>212.80944168905202</v>
      </c>
      <c r="D79">
        <v>334669987.919649</v>
      </c>
      <c r="E79" s="18">
        <v>7076.8239119716536</v>
      </c>
      <c r="F79" s="4">
        <v>648.82421965699996</v>
      </c>
      <c r="G79" s="4">
        <v>6889.7643838930444</v>
      </c>
      <c r="H79" s="4">
        <v>669.18515037303996</v>
      </c>
      <c r="I79" s="4">
        <v>6680.1332897301199</v>
      </c>
      <c r="J79" s="4">
        <v>670.27604310920799</v>
      </c>
      <c r="K79" s="4">
        <v>6669.2611886647173</v>
      </c>
      <c r="L79" s="4">
        <v>656.79785601052799</v>
      </c>
      <c r="M79" s="4">
        <v>6806.1214863775995</v>
      </c>
      <c r="N79" s="4">
        <v>648.82421965699996</v>
      </c>
      <c r="O79" s="4">
        <v>6889.7643838930444</v>
      </c>
      <c r="P79" s="4">
        <v>256.55653045103998</v>
      </c>
      <c r="Q79" s="4">
        <v>7094.6972418387422</v>
      </c>
      <c r="R79" s="4">
        <v>256.55653045103998</v>
      </c>
      <c r="S79" s="4">
        <v>7094.6972418387422</v>
      </c>
      <c r="T79" s="4">
        <v>256.55653045103998</v>
      </c>
      <c r="U79" s="4">
        <v>7094.6972418387422</v>
      </c>
      <c r="V79" s="4">
        <v>256.55653045103998</v>
      </c>
      <c r="W79" s="4">
        <v>0</v>
      </c>
    </row>
    <row r="80" spans="1:23" x14ac:dyDescent="0.3">
      <c r="A80" t="s">
        <v>113</v>
      </c>
      <c r="B80">
        <v>101585.94921509</v>
      </c>
      <c r="C80" s="5">
        <v>2.0317189843018002E-2</v>
      </c>
      <c r="D80">
        <v>32222.829260973002</v>
      </c>
      <c r="E80" s="18">
        <v>7136.9482096072798</v>
      </c>
      <c r="F80" s="4">
        <v>145.91796129492459</v>
      </c>
      <c r="G80" s="4">
        <v>6683.7899278813675</v>
      </c>
      <c r="H80" s="4">
        <v>154.75557828488482</v>
      </c>
      <c r="I80" s="4">
        <v>6302.0991605525687</v>
      </c>
      <c r="J80" s="4">
        <v>153.3934117884198</v>
      </c>
      <c r="K80" s="4">
        <v>6358.063156879517</v>
      </c>
      <c r="L80" s="4">
        <v>85.692663373339997</v>
      </c>
      <c r="M80" s="4">
        <v>6306.3470401352142</v>
      </c>
      <c r="N80" s="4">
        <v>145.91796129492459</v>
      </c>
      <c r="O80" s="4">
        <v>6683.7899278813675</v>
      </c>
      <c r="P80" s="4">
        <v>141.32187453125638</v>
      </c>
      <c r="Q80" s="4">
        <v>6901.1609365844497</v>
      </c>
      <c r="R80" s="4">
        <v>108.64565046398039</v>
      </c>
      <c r="S80" s="4">
        <v>6805.5901496332081</v>
      </c>
      <c r="T80" s="4">
        <v>108.64565046398039</v>
      </c>
      <c r="U80" s="4">
        <v>6805.5901496332081</v>
      </c>
      <c r="V80" s="4">
        <v>11.39865250075564</v>
      </c>
      <c r="W80" s="4">
        <v>0</v>
      </c>
    </row>
    <row r="81" spans="1:23" x14ac:dyDescent="0.3">
      <c r="A81" t="s">
        <v>115</v>
      </c>
      <c r="B81">
        <v>3034391.6357646901</v>
      </c>
      <c r="C81" s="5">
        <v>0.60687832715293799</v>
      </c>
      <c r="D81">
        <v>1035353.56611098</v>
      </c>
      <c r="E81" s="18">
        <v>7677.1419229233452</v>
      </c>
      <c r="F81" s="4">
        <v>114.48094307118859</v>
      </c>
      <c r="G81" s="4">
        <v>7571.4588537324862</v>
      </c>
      <c r="H81" s="4">
        <v>110.17660090473881</v>
      </c>
      <c r="I81" s="4">
        <v>7867.2580464652774</v>
      </c>
      <c r="J81" s="4">
        <v>113.59863595282359</v>
      </c>
      <c r="K81" s="4">
        <v>7630.2654757224727</v>
      </c>
      <c r="L81" s="4">
        <v>113.14928276806501</v>
      </c>
      <c r="M81" s="4">
        <v>7660.5677808559667</v>
      </c>
      <c r="N81" s="4">
        <v>114.48094307118859</v>
      </c>
      <c r="O81" s="4">
        <v>7571.4588537324862</v>
      </c>
      <c r="P81" s="4">
        <v>111.9223643192952</v>
      </c>
      <c r="Q81" s="4">
        <v>7744.5446696176296</v>
      </c>
      <c r="R81" s="4">
        <v>111.9223643192952</v>
      </c>
      <c r="S81" s="4">
        <v>7744.5446696176296</v>
      </c>
      <c r="T81" s="4">
        <v>111.9223643192952</v>
      </c>
      <c r="U81" s="4">
        <v>7744.5446696176296</v>
      </c>
      <c r="V81" s="4">
        <v>95.302102964474599</v>
      </c>
      <c r="W81" s="4">
        <v>0</v>
      </c>
    </row>
    <row r="82" spans="1:23" x14ac:dyDescent="0.3">
      <c r="A82" t="s">
        <v>152</v>
      </c>
      <c r="B82">
        <v>0</v>
      </c>
      <c r="C82" s="20">
        <v>0</v>
      </c>
      <c r="D82">
        <v>0</v>
      </c>
      <c r="E82" s="18" t="e">
        <v>#DIV/0!</v>
      </c>
      <c r="F82" s="4">
        <v>43.409698365455597</v>
      </c>
      <c r="G82" s="4">
        <v>7499.7929554625944</v>
      </c>
      <c r="H82" s="4">
        <v>42.138922095744</v>
      </c>
      <c r="I82" s="4">
        <v>7725.9629294808583</v>
      </c>
      <c r="J82" s="4">
        <v>42.969621858222197</v>
      </c>
      <c r="K82" s="4">
        <v>7576.6026304395718</v>
      </c>
      <c r="L82" s="4">
        <v>42.570616814924399</v>
      </c>
      <c r="M82" s="4">
        <v>7647.6164631437514</v>
      </c>
      <c r="N82" s="4">
        <v>43.409698365455597</v>
      </c>
      <c r="O82" s="4">
        <v>7499.7929554625944</v>
      </c>
      <c r="P82" s="4">
        <v>42.868026921975002</v>
      </c>
      <c r="Q82" s="4">
        <v>7594.558774364994</v>
      </c>
      <c r="R82" s="4" t="e">
        <v>#N/A</v>
      </c>
      <c r="S82" s="4" t="e">
        <v>#N/A</v>
      </c>
      <c r="T82" s="4" t="e">
        <v>#N/A</v>
      </c>
      <c r="U82" s="4" t="e">
        <v>#N/A</v>
      </c>
      <c r="V82" s="4" t="e">
        <v>#N/A</v>
      </c>
      <c r="W82" s="4" t="e">
        <v>#N/A</v>
      </c>
    </row>
    <row r="83" spans="1:23" x14ac:dyDescent="0.3">
      <c r="A83" t="s">
        <v>154</v>
      </c>
      <c r="B83">
        <v>0</v>
      </c>
      <c r="C83" s="5">
        <v>0</v>
      </c>
      <c r="D83">
        <v>0</v>
      </c>
      <c r="E83" s="18" t="e">
        <v>#DIV/0!</v>
      </c>
      <c r="F83" s="4">
        <v>2.5932798057811</v>
      </c>
      <c r="G83" s="4">
        <v>3616.6676194969318</v>
      </c>
      <c r="H83" s="4">
        <v>0.64088841881569802</v>
      </c>
      <c r="I83" s="4">
        <v>3556.207382894248</v>
      </c>
      <c r="J83" s="4">
        <v>19.837332931400919</v>
      </c>
      <c r="K83" s="4">
        <v>3579.3874229737785</v>
      </c>
      <c r="L83" s="4">
        <v>0.357347788838002</v>
      </c>
      <c r="M83" s="4">
        <v>3646.0328043437903</v>
      </c>
      <c r="N83" s="4">
        <v>19.837332931400919</v>
      </c>
      <c r="O83" s="4">
        <v>3579.3874229737785</v>
      </c>
      <c r="P83" s="4">
        <v>3.7227072501474203</v>
      </c>
      <c r="Q83" s="4">
        <v>3628.9017880253709</v>
      </c>
      <c r="R83" s="4" t="e">
        <v>#N/A</v>
      </c>
      <c r="S83" s="4" t="e">
        <v>#N/A</v>
      </c>
      <c r="T83" s="4" t="e">
        <v>#N/A</v>
      </c>
      <c r="U83" s="4" t="e">
        <v>#N/A</v>
      </c>
      <c r="V83" s="4" t="e">
        <v>#N/A</v>
      </c>
      <c r="W83" s="4" t="e">
        <v>#N/A</v>
      </c>
    </row>
    <row r="84" spans="1:23" x14ac:dyDescent="0.3">
      <c r="A84" t="s">
        <v>117</v>
      </c>
      <c r="B84">
        <v>17486161.536643799</v>
      </c>
      <c r="C84" s="5">
        <v>3.4972323073287597</v>
      </c>
      <c r="D84">
        <v>5629027.7785499496</v>
      </c>
      <c r="E84" s="18">
        <v>7243.0490106111056</v>
      </c>
      <c r="F84" s="4">
        <v>23.5803535389758</v>
      </c>
      <c r="G84" s="4">
        <v>7308.4782089948831</v>
      </c>
      <c r="H84" s="4">
        <v>11.18200128874542</v>
      </c>
      <c r="I84" s="4">
        <v>7344.8331499324686</v>
      </c>
      <c r="J84" s="4">
        <v>22.898118462996599</v>
      </c>
      <c r="K84" s="4">
        <v>7526.2297327396618</v>
      </c>
      <c r="L84" s="4">
        <v>7.0121227427922799</v>
      </c>
      <c r="M84" s="4">
        <v>7520.7464920180619</v>
      </c>
      <c r="N84" s="4">
        <v>23.5803535389758</v>
      </c>
      <c r="O84" s="4">
        <v>7308.4782089948831</v>
      </c>
      <c r="P84" s="4">
        <v>8.5114297179155596</v>
      </c>
      <c r="Q84" s="4">
        <v>7361.2692174753247</v>
      </c>
      <c r="R84" s="4">
        <v>11.18200128874542</v>
      </c>
      <c r="S84" s="4">
        <v>7344.8331499324686</v>
      </c>
      <c r="T84" s="4">
        <v>10.24370445463652</v>
      </c>
      <c r="U84" s="4">
        <v>7272.9990778500296</v>
      </c>
      <c r="V84" s="4">
        <v>6.7670812271157805</v>
      </c>
      <c r="W84" s="4">
        <v>0</v>
      </c>
    </row>
    <row r="85" spans="1:23" x14ac:dyDescent="0.3">
      <c r="A85" t="s">
        <v>119</v>
      </c>
      <c r="B85">
        <v>122994453.171249</v>
      </c>
      <c r="C85" s="5">
        <v>24.598890634249802</v>
      </c>
      <c r="D85">
        <v>31555915.139548101</v>
      </c>
      <c r="E85" s="18">
        <v>5772.6838270606077</v>
      </c>
      <c r="F85" s="4">
        <v>30.133328422139602</v>
      </c>
      <c r="G85" s="4">
        <v>5839.1638030764434</v>
      </c>
      <c r="H85" s="4">
        <v>52.5300984461566</v>
      </c>
      <c r="I85" s="4">
        <v>5542.8299066086556</v>
      </c>
      <c r="J85" s="4">
        <v>102.857333496181</v>
      </c>
      <c r="K85" s="4">
        <v>5756.7237052862638</v>
      </c>
      <c r="L85" s="4">
        <v>26.2566528176262</v>
      </c>
      <c r="M85" s="4">
        <v>5796.1999185232671</v>
      </c>
      <c r="N85" s="4">
        <v>102.857333496181</v>
      </c>
      <c r="O85" s="4">
        <v>5756.7237052862638</v>
      </c>
      <c r="P85" s="4">
        <v>32.710651940105997</v>
      </c>
      <c r="Q85" s="4">
        <v>5894.9040109828538</v>
      </c>
      <c r="R85" s="4">
        <v>100.082903142841</v>
      </c>
      <c r="S85" s="4">
        <v>5853.3825204423028</v>
      </c>
      <c r="T85" s="4">
        <v>100.082903142841</v>
      </c>
      <c r="U85" s="4">
        <v>5853.3825204423028</v>
      </c>
      <c r="V85" s="4">
        <v>100.082903142841</v>
      </c>
      <c r="W85" s="4">
        <v>0</v>
      </c>
    </row>
    <row r="86" spans="1:23" x14ac:dyDescent="0.3">
      <c r="A86" t="s">
        <v>120</v>
      </c>
      <c r="B86">
        <v>282971462.68283898</v>
      </c>
      <c r="C86" s="5">
        <v>56.594292536567792</v>
      </c>
      <c r="D86">
        <v>65285396.5665152</v>
      </c>
      <c r="E86" s="18">
        <v>5191.0585216608688</v>
      </c>
      <c r="F86" s="4">
        <v>64.280029394648807</v>
      </c>
      <c r="G86" s="4">
        <v>5150.9013102973431</v>
      </c>
      <c r="H86" s="4">
        <v>133.641188843035</v>
      </c>
      <c r="I86" s="4">
        <v>5212.9513472197441</v>
      </c>
      <c r="J86" s="4">
        <v>374.87632937811998</v>
      </c>
      <c r="K86" s="4">
        <v>5172.9273326075363</v>
      </c>
      <c r="L86" s="4">
        <v>100.75622063103201</v>
      </c>
      <c r="M86" s="4">
        <v>5186.5968078269998</v>
      </c>
      <c r="N86" s="4">
        <v>64.280029394648807</v>
      </c>
      <c r="O86" s="4">
        <v>5150.9013102973431</v>
      </c>
      <c r="P86" s="4">
        <v>64.280029394648807</v>
      </c>
      <c r="Q86" s="4">
        <v>5150.9013102973431</v>
      </c>
      <c r="R86" s="4">
        <v>59.416948244646797</v>
      </c>
      <c r="S86" s="4">
        <v>5191.2272114737207</v>
      </c>
      <c r="T86" s="4">
        <v>59.416948244646797</v>
      </c>
      <c r="U86" s="4">
        <v>5191.2272114737207</v>
      </c>
      <c r="V86" s="4">
        <v>59.416948244646797</v>
      </c>
      <c r="W86" s="4">
        <v>0</v>
      </c>
    </row>
    <row r="87" spans="1:23" x14ac:dyDescent="0.3">
      <c r="A87" t="s">
        <v>121</v>
      </c>
      <c r="B87">
        <v>10520311.2817897</v>
      </c>
      <c r="C87" s="5">
        <v>2.1040622563579401</v>
      </c>
      <c r="D87">
        <v>3656536.1359369601</v>
      </c>
      <c r="E87" s="18">
        <v>7820.3069143963194</v>
      </c>
      <c r="F87" s="4">
        <v>6.9501759265271206</v>
      </c>
      <c r="G87" s="4">
        <v>7702.8985404043988</v>
      </c>
      <c r="H87" s="4">
        <v>6.8568933478938208</v>
      </c>
      <c r="I87" s="4">
        <v>7807.6903465976175</v>
      </c>
      <c r="J87" s="4">
        <v>6.8180437728628993</v>
      </c>
      <c r="K87" s="4">
        <v>7852.1789802942267</v>
      </c>
      <c r="L87" s="4">
        <v>6.7809711405204398</v>
      </c>
      <c r="M87" s="4">
        <v>7895.1080738401542</v>
      </c>
      <c r="N87" s="4">
        <v>6.9501759265271206</v>
      </c>
      <c r="O87" s="4">
        <v>7702.8985404043988</v>
      </c>
      <c r="P87" s="4">
        <v>6.8106868622796597</v>
      </c>
      <c r="Q87" s="4">
        <v>7860.6609116779109</v>
      </c>
      <c r="R87" s="4">
        <v>6.7165773776733202</v>
      </c>
      <c r="S87" s="4">
        <v>7970.8007500905915</v>
      </c>
      <c r="T87" s="4">
        <v>6.7165773776733202</v>
      </c>
      <c r="U87" s="4">
        <v>7970.8007500905915</v>
      </c>
      <c r="V87" s="4">
        <v>0.99689474788852794</v>
      </c>
      <c r="W87" s="4">
        <v>0</v>
      </c>
    </row>
    <row r="88" spans="1:23" x14ac:dyDescent="0.3">
      <c r="A88" t="s">
        <v>123</v>
      </c>
      <c r="B88">
        <v>16222207.2292041</v>
      </c>
      <c r="C88" s="20">
        <v>3.2444414458408199</v>
      </c>
      <c r="D88">
        <v>4078997.5490469201</v>
      </c>
      <c r="E88" s="18">
        <v>5657.5189526819104</v>
      </c>
      <c r="F88" s="4">
        <v>50.4747550024764</v>
      </c>
      <c r="G88" s="4">
        <v>5063.2489446944592</v>
      </c>
      <c r="H88" s="4">
        <v>27.370097308688198</v>
      </c>
      <c r="I88" s="4">
        <v>5190.2752895627555</v>
      </c>
      <c r="J88" s="4">
        <v>48.486988219362601</v>
      </c>
      <c r="K88" s="4">
        <v>5270.8212942362707</v>
      </c>
      <c r="L88" s="4">
        <v>48.7267108083282</v>
      </c>
      <c r="M88" s="4">
        <v>5244.8902411102108</v>
      </c>
      <c r="N88" s="4">
        <v>50.4747550024764</v>
      </c>
      <c r="O88" s="4">
        <v>5063.2489446944592</v>
      </c>
      <c r="P88" s="4">
        <v>4.4859705610838008</v>
      </c>
      <c r="Q88" s="4">
        <v>5585.1509099131572</v>
      </c>
      <c r="R88" s="4">
        <v>50.4747550024764</v>
      </c>
      <c r="S88" s="4">
        <v>5063.2489446944592</v>
      </c>
      <c r="T88" s="4">
        <v>47.995874708080798</v>
      </c>
      <c r="U88" s="4">
        <v>5324.7545034734349</v>
      </c>
      <c r="V88" s="4">
        <v>46.7480698255468</v>
      </c>
      <c r="W88" s="4">
        <v>0</v>
      </c>
    </row>
    <row r="89" spans="1:23" x14ac:dyDescent="0.3">
      <c r="A89" t="s">
        <v>125</v>
      </c>
      <c r="B89">
        <v>1256567.071096</v>
      </c>
      <c r="C89" s="5">
        <v>0.2513134142192</v>
      </c>
      <c r="D89">
        <v>416012.94367226702</v>
      </c>
      <c r="E89" s="18">
        <v>7449.0979812655742</v>
      </c>
      <c r="F89" s="4">
        <v>3.7475164530456602</v>
      </c>
      <c r="G89" s="4">
        <v>7626.8511047553102</v>
      </c>
      <c r="H89" s="4">
        <v>3.7479763114793396</v>
      </c>
      <c r="I89" s="4">
        <v>7625.9153272819594</v>
      </c>
      <c r="J89" s="4">
        <v>3.7255892897189997</v>
      </c>
      <c r="K89" s="4">
        <v>7671.739361843549</v>
      </c>
      <c r="L89" s="4">
        <v>3.7338519179055401</v>
      </c>
      <c r="M89" s="4">
        <v>7654.7625959501347</v>
      </c>
      <c r="N89" s="4">
        <v>3.6040322491865999</v>
      </c>
      <c r="O89" s="4">
        <v>7930.4922996875684</v>
      </c>
      <c r="P89" s="4">
        <v>0.300987997903224</v>
      </c>
      <c r="Q89" s="4">
        <v>7451.1946059967149</v>
      </c>
      <c r="R89" s="4">
        <v>3.6008425715422803</v>
      </c>
      <c r="S89" s="4">
        <v>7937.5172427374773</v>
      </c>
      <c r="T89" s="4">
        <v>3.6008425715422803</v>
      </c>
      <c r="U89" s="4">
        <v>7937.5172427374773</v>
      </c>
      <c r="V89" s="4">
        <v>0.26963030582698999</v>
      </c>
      <c r="W89" s="4">
        <v>0</v>
      </c>
    </row>
    <row r="90" spans="1:23" x14ac:dyDescent="0.3">
      <c r="A90" t="s">
        <v>127</v>
      </c>
      <c r="B90">
        <v>91933175.107367501</v>
      </c>
      <c r="C90" s="5">
        <v>18.386635021473499</v>
      </c>
      <c r="D90">
        <v>22215779.2295935</v>
      </c>
      <c r="E90" s="18">
        <v>5437.1561961400757</v>
      </c>
      <c r="F90" s="4">
        <v>15.9044478341981</v>
      </c>
      <c r="G90" s="4">
        <v>5443.3325260089514</v>
      </c>
      <c r="H90" s="4">
        <v>46.230035741952804</v>
      </c>
      <c r="I90" s="4">
        <v>5475.328983893236</v>
      </c>
      <c r="J90" s="4">
        <v>240.866829239814</v>
      </c>
      <c r="K90" s="4">
        <v>5420.117925181823</v>
      </c>
      <c r="L90" s="4">
        <v>15.51422976000952</v>
      </c>
      <c r="M90" s="4">
        <v>5428.0973818849534</v>
      </c>
      <c r="N90" s="4">
        <v>15.9044478341981</v>
      </c>
      <c r="O90" s="4">
        <v>5443.3325260089514</v>
      </c>
      <c r="P90" s="4">
        <v>15.9044478341981</v>
      </c>
      <c r="Q90" s="4">
        <v>5443.3325260089514</v>
      </c>
      <c r="R90" s="4">
        <v>29.671174453193402</v>
      </c>
      <c r="S90" s="4">
        <v>5432.076079681874</v>
      </c>
      <c r="T90" s="4">
        <v>29.671174453193402</v>
      </c>
      <c r="U90" s="4">
        <v>5432.076079681874</v>
      </c>
      <c r="V90" s="4">
        <v>29.671174453193402</v>
      </c>
      <c r="W90" s="4">
        <v>0</v>
      </c>
    </row>
    <row r="91" spans="1:23" x14ac:dyDescent="0.3">
      <c r="A91" t="s">
        <v>171</v>
      </c>
      <c r="B91">
        <v>1048886.2400617001</v>
      </c>
      <c r="C91" s="5">
        <v>0.20977724801234002</v>
      </c>
      <c r="D91">
        <v>247468.44197267201</v>
      </c>
      <c r="E91" s="18">
        <v>5308.5260648071644</v>
      </c>
      <c r="F91" s="4">
        <v>2.4762248689565598</v>
      </c>
      <c r="G91" s="4">
        <v>5253.6312264214994</v>
      </c>
      <c r="H91" s="4">
        <v>2.6994169184331001</v>
      </c>
      <c r="I91" s="4">
        <v>5267.656112743216</v>
      </c>
      <c r="J91" s="4">
        <v>10.6493320763828</v>
      </c>
      <c r="K91" s="4">
        <v>5295.7546628742002</v>
      </c>
      <c r="L91" s="4">
        <v>10.70662975459148</v>
      </c>
      <c r="M91" s="4">
        <v>5267.413863434922</v>
      </c>
      <c r="N91" s="4" t="e">
        <v>#N/A</v>
      </c>
      <c r="O91" s="4" t="e">
        <v>#N/A</v>
      </c>
      <c r="P91" s="4">
        <v>2.4762248689565598</v>
      </c>
      <c r="Q91" s="4">
        <v>5253.6312264214994</v>
      </c>
      <c r="R91" s="4" t="e">
        <v>#N/A</v>
      </c>
      <c r="S91" s="4" t="e">
        <v>#N/A</v>
      </c>
      <c r="T91" s="4" t="e">
        <v>#N/A</v>
      </c>
      <c r="U91" s="4" t="e">
        <v>#N/A</v>
      </c>
      <c r="V91" s="4" t="e">
        <v>#N/A</v>
      </c>
      <c r="W91" s="4" t="e">
        <v>#N/A</v>
      </c>
    </row>
    <row r="92" spans="1:23" x14ac:dyDescent="0.3">
      <c r="A92" t="s">
        <v>128</v>
      </c>
      <c r="B92">
        <v>2671919.88897881</v>
      </c>
      <c r="C92" s="5">
        <v>0.53438397779576197</v>
      </c>
      <c r="D92">
        <v>933709.84573749499</v>
      </c>
      <c r="E92" s="18">
        <v>7862.6876560744995</v>
      </c>
      <c r="F92" s="4">
        <v>23.425105467425002</v>
      </c>
      <c r="G92" s="4">
        <v>7754.6604799515517</v>
      </c>
      <c r="H92" s="4">
        <v>9.6127790356258203</v>
      </c>
      <c r="I92" s="4">
        <v>7795.7079571281374</v>
      </c>
      <c r="J92" s="4">
        <v>25.582401294449799</v>
      </c>
      <c r="K92" s="4">
        <v>7741.1908178832755</v>
      </c>
      <c r="L92" s="4">
        <v>14.384988370199082</v>
      </c>
      <c r="M92" s="4">
        <v>7788.4028270491208</v>
      </c>
      <c r="N92" s="4">
        <v>23.425105467425002</v>
      </c>
      <c r="O92" s="4">
        <v>7754.6604799515517</v>
      </c>
      <c r="P92" s="4">
        <v>6.0958040214705802</v>
      </c>
      <c r="Q92" s="4">
        <v>7826.6689577398283</v>
      </c>
      <c r="R92" s="4">
        <v>9.6127790356258203</v>
      </c>
      <c r="S92" s="4">
        <v>7795.7079571281374</v>
      </c>
      <c r="T92" s="4">
        <v>1.3669216048611259</v>
      </c>
      <c r="U92" s="4">
        <v>7793.7601938680009</v>
      </c>
      <c r="V92" s="4">
        <v>0.16595046115151879</v>
      </c>
      <c r="W92" s="4">
        <v>0</v>
      </c>
    </row>
    <row r="93" spans="1:23" x14ac:dyDescent="0.3">
      <c r="A93" t="s">
        <v>165</v>
      </c>
      <c r="B93">
        <v>0</v>
      </c>
      <c r="C93" s="5">
        <v>0</v>
      </c>
      <c r="D93">
        <v>0</v>
      </c>
      <c r="E93" s="18" t="e">
        <v>#DIV/0!</v>
      </c>
      <c r="F93" s="4">
        <v>3.1618813747276997</v>
      </c>
      <c r="G93" s="4">
        <v>6538.678980543229</v>
      </c>
      <c r="H93" s="4">
        <v>5.0172441551214204</v>
      </c>
      <c r="I93" s="4">
        <v>6222.7388252833362</v>
      </c>
      <c r="J93" s="4">
        <v>4.80143958805166</v>
      </c>
      <c r="K93" s="4">
        <v>6502.4248306056334</v>
      </c>
      <c r="L93" s="4">
        <v>4.5588071315613199</v>
      </c>
      <c r="M93" s="4">
        <v>6848.5020530595011</v>
      </c>
      <c r="N93" s="4">
        <v>3.1618813747276997</v>
      </c>
      <c r="O93" s="4">
        <v>6538.678980543229</v>
      </c>
      <c r="P93" s="4">
        <v>4.9648591581813406</v>
      </c>
      <c r="Q93" s="4">
        <v>6288.3959051592619</v>
      </c>
      <c r="R93" s="4" t="e">
        <v>#N/A</v>
      </c>
      <c r="S93" s="4" t="e">
        <v>#N/A</v>
      </c>
      <c r="T93" s="4" t="e">
        <v>#N/A</v>
      </c>
      <c r="U93" s="4" t="e">
        <v>#N/A</v>
      </c>
      <c r="V93" s="4" t="e">
        <v>#N/A</v>
      </c>
      <c r="W93" s="4" t="e">
        <v>#N/A</v>
      </c>
    </row>
    <row r="94" spans="1:23" x14ac:dyDescent="0.3">
      <c r="A94" t="s">
        <v>129</v>
      </c>
      <c r="B94">
        <v>2384057.602101</v>
      </c>
      <c r="C94" s="20">
        <v>0.47681152042020003</v>
      </c>
      <c r="D94">
        <v>686949.07796728495</v>
      </c>
      <c r="E94" s="18">
        <v>6483.213425985462</v>
      </c>
      <c r="F94" s="4">
        <v>16.186319432647139</v>
      </c>
      <c r="G94" s="4">
        <v>6376.7304092597506</v>
      </c>
      <c r="H94" s="4">
        <v>18.209590673227961</v>
      </c>
      <c r="I94" s="4">
        <v>6320.1585398184197</v>
      </c>
      <c r="J94" s="4">
        <v>18.42244706921916</v>
      </c>
      <c r="K94" s="4">
        <v>6247.134247018249</v>
      </c>
      <c r="L94" s="4">
        <v>18.370673175853</v>
      </c>
      <c r="M94" s="4">
        <v>6264.7404860086835</v>
      </c>
      <c r="N94" s="4">
        <v>16.186319432647139</v>
      </c>
      <c r="O94" s="4">
        <v>6376.7304092597506</v>
      </c>
      <c r="P94" s="4">
        <v>5.3321835599151797</v>
      </c>
      <c r="Q94" s="4">
        <v>6383.6532368356866</v>
      </c>
      <c r="R94" s="4">
        <v>14.58381395515938</v>
      </c>
      <c r="S94" s="4">
        <v>6131.2957828495355</v>
      </c>
      <c r="T94" s="4">
        <v>14.58381395515938</v>
      </c>
      <c r="U94" s="4">
        <v>6131.2957828495355</v>
      </c>
      <c r="V94" s="4">
        <v>18.178382471557441</v>
      </c>
      <c r="W94" s="4">
        <v>0</v>
      </c>
    </row>
    <row r="95" spans="1:23" x14ac:dyDescent="0.3">
      <c r="A95" t="s">
        <v>168</v>
      </c>
      <c r="B95">
        <v>0</v>
      </c>
      <c r="C95" s="5">
        <v>0</v>
      </c>
      <c r="D95">
        <v>0</v>
      </c>
      <c r="E95" s="18" t="e">
        <v>#DIV/0!</v>
      </c>
      <c r="F95" s="4">
        <v>3.7469350620787396</v>
      </c>
      <c r="G95" s="4">
        <v>3835.9351741810246</v>
      </c>
      <c r="H95" s="4">
        <v>0.24771119211819601</v>
      </c>
      <c r="I95" s="4">
        <v>3687.3890905462708</v>
      </c>
      <c r="J95" s="4">
        <v>3.82563916584132</v>
      </c>
      <c r="K95" s="4">
        <v>3757.019252713329</v>
      </c>
      <c r="L95" s="4">
        <v>0.16995435364428299</v>
      </c>
      <c r="M95" s="4">
        <v>3766.6757883153855</v>
      </c>
      <c r="N95" s="4">
        <v>3.82563916584132</v>
      </c>
      <c r="O95" s="4">
        <v>3757.019252713329</v>
      </c>
      <c r="P95" s="4">
        <v>3.8905659964382799</v>
      </c>
      <c r="Q95" s="4">
        <v>3694.3210867411417</v>
      </c>
      <c r="R95" s="4" t="e">
        <v>#N/A</v>
      </c>
      <c r="S95" s="4" t="e">
        <v>#N/A</v>
      </c>
      <c r="T95" s="4" t="e">
        <v>#N/A</v>
      </c>
      <c r="U95" s="4" t="e">
        <v>#N/A</v>
      </c>
      <c r="V95" s="4" t="e">
        <v>#N/A</v>
      </c>
      <c r="W95" s="4" t="e">
        <v>#N/A</v>
      </c>
    </row>
    <row r="96" spans="1:23" x14ac:dyDescent="0.3">
      <c r="A96" t="s">
        <v>170</v>
      </c>
      <c r="B96">
        <v>0</v>
      </c>
      <c r="C96" s="5">
        <v>0</v>
      </c>
      <c r="D96">
        <v>0</v>
      </c>
      <c r="E96" s="18" t="e">
        <v>#DIV/0!</v>
      </c>
      <c r="F96" s="4">
        <v>1.9707507678482818</v>
      </c>
      <c r="G96" s="4">
        <v>7115.0549469579</v>
      </c>
      <c r="H96" s="4">
        <v>0.12943307264221179</v>
      </c>
      <c r="I96" s="4">
        <v>7102.5558410266494</v>
      </c>
      <c r="J96" s="4">
        <v>1.8370661878905858</v>
      </c>
      <c r="K96" s="4">
        <v>7111.7798972879573</v>
      </c>
      <c r="L96" s="4">
        <v>1.9433875139219321</v>
      </c>
      <c r="M96" s="4">
        <v>7215.236230319465</v>
      </c>
      <c r="N96" s="4">
        <v>1.9707507678482818</v>
      </c>
      <c r="O96" s="4">
        <v>7115.0549469579</v>
      </c>
      <c r="P96" s="4">
        <v>1.789642227818298</v>
      </c>
      <c r="Q96" s="4">
        <v>7166.3907715268906</v>
      </c>
      <c r="R96" s="4" t="e">
        <v>#N/A</v>
      </c>
      <c r="S96" s="4" t="e">
        <v>#N/A</v>
      </c>
      <c r="T96" s="4" t="e">
        <v>#N/A</v>
      </c>
      <c r="U96" s="4" t="e">
        <v>#N/A</v>
      </c>
      <c r="V96" s="4" t="e">
        <v>#N/A</v>
      </c>
      <c r="W96" s="4" t="e">
        <v>#N/A</v>
      </c>
    </row>
    <row r="97" spans="1:23" x14ac:dyDescent="0.3">
      <c r="A97" t="s">
        <v>173</v>
      </c>
      <c r="B97">
        <v>0</v>
      </c>
      <c r="C97" s="5">
        <v>0</v>
      </c>
      <c r="D97">
        <v>0</v>
      </c>
      <c r="E97" s="18" t="e">
        <v>#DIV/0!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 t="e">
        <v>#N/A</v>
      </c>
      <c r="S97" s="4" t="e">
        <v>#N/A</v>
      </c>
      <c r="T97" s="4" t="e">
        <v>#N/A</v>
      </c>
      <c r="U97" s="4" t="e">
        <v>#N/A</v>
      </c>
      <c r="V97" s="4" t="e">
        <v>#N/A</v>
      </c>
      <c r="W97" s="4" t="e">
        <v>#N/A</v>
      </c>
    </row>
    <row r="98" spans="1:23" x14ac:dyDescent="0.3">
      <c r="A98" t="s">
        <v>175</v>
      </c>
      <c r="B98">
        <v>0</v>
      </c>
      <c r="C98" s="5">
        <v>0</v>
      </c>
      <c r="D98">
        <v>0</v>
      </c>
      <c r="E98" s="18" t="e">
        <v>#DIV/0!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 t="e">
        <v>#N/A</v>
      </c>
      <c r="S98" s="4" t="e">
        <v>#N/A</v>
      </c>
      <c r="T98" s="4" t="e">
        <v>#N/A</v>
      </c>
      <c r="U98" s="4" t="e">
        <v>#N/A</v>
      </c>
      <c r="V98" s="4" t="e">
        <v>#N/A</v>
      </c>
      <c r="W98" s="4" t="e">
        <v>#N/A</v>
      </c>
    </row>
    <row r="99" spans="1:23" x14ac:dyDescent="0.3">
      <c r="A99" t="s">
        <v>177</v>
      </c>
      <c r="B99">
        <v>0</v>
      </c>
      <c r="C99" s="5">
        <v>0</v>
      </c>
      <c r="D99">
        <v>0</v>
      </c>
      <c r="E99" s="18" t="e">
        <v>#DIV/0!</v>
      </c>
      <c r="F99" s="4">
        <v>9.5780781351332394</v>
      </c>
      <c r="G99" s="4">
        <v>7927.555917661527</v>
      </c>
      <c r="H99" s="4">
        <v>9.3158858725154392</v>
      </c>
      <c r="I99" s="4">
        <v>8150.6741322387479</v>
      </c>
      <c r="J99" s="4">
        <v>9.41832120754556</v>
      </c>
      <c r="K99" s="4">
        <v>8062.0259520526324</v>
      </c>
      <c r="L99" s="4">
        <v>9.4442382449171394</v>
      </c>
      <c r="M99" s="4">
        <v>8039.9020048933762</v>
      </c>
      <c r="N99" s="4">
        <v>8.9176003525295204</v>
      </c>
      <c r="O99" s="4">
        <v>8514.7065352016907</v>
      </c>
      <c r="P99" s="4">
        <v>6.8188997714732391</v>
      </c>
      <c r="Q99" s="4">
        <v>8300.6388664927199</v>
      </c>
      <c r="R99" s="4" t="e">
        <v>#N/A</v>
      </c>
      <c r="S99" s="4" t="e">
        <v>#N/A</v>
      </c>
      <c r="T99" s="4" t="e">
        <v>#N/A</v>
      </c>
      <c r="U99" s="4" t="e">
        <v>#N/A</v>
      </c>
      <c r="V99" s="4" t="e">
        <v>#N/A</v>
      </c>
      <c r="W99" s="4" t="e">
        <v>#N/A</v>
      </c>
    </row>
    <row r="100" spans="1:23" x14ac:dyDescent="0.3">
      <c r="A100" t="s">
        <v>132</v>
      </c>
      <c r="B100">
        <v>558586.16551560001</v>
      </c>
      <c r="C100" s="20">
        <v>0.11171723310312</v>
      </c>
      <c r="D100">
        <v>93309.662114491497</v>
      </c>
      <c r="E100" s="18">
        <v>3758.5381221143502</v>
      </c>
      <c r="F100" s="4">
        <v>3.1329643484360399</v>
      </c>
      <c r="G100" s="4">
        <v>3906.8430530051023</v>
      </c>
      <c r="H100" s="4">
        <v>0.12061930329929341</v>
      </c>
      <c r="I100" s="4">
        <v>3784.1694271336532</v>
      </c>
      <c r="J100" s="4">
        <v>3.2417716589138199</v>
      </c>
      <c r="K100" s="4">
        <v>3775.7131864435833</v>
      </c>
      <c r="L100" s="4">
        <v>0.26415053444265202</v>
      </c>
      <c r="M100" s="4">
        <v>3810.1036168791697</v>
      </c>
      <c r="N100" s="4">
        <v>3.2417716589138199</v>
      </c>
      <c r="O100" s="4">
        <v>3775.7131864435833</v>
      </c>
      <c r="P100" s="4">
        <v>3.2504068181338197</v>
      </c>
      <c r="Q100" s="4">
        <v>3765.6824775636678</v>
      </c>
      <c r="R100" s="4">
        <v>3.2417716589138199</v>
      </c>
      <c r="S100" s="4">
        <v>3775.7131864435833</v>
      </c>
      <c r="T100" s="4">
        <v>3.2300819536620402</v>
      </c>
      <c r="U100" s="4">
        <v>3789.3775376575654</v>
      </c>
      <c r="V100" s="4">
        <v>3.2282872071703999</v>
      </c>
      <c r="W100" s="4">
        <v>0</v>
      </c>
    </row>
    <row r="101" spans="1:23" x14ac:dyDescent="0.3">
      <c r="A101" t="s">
        <v>134</v>
      </c>
      <c r="B101">
        <v>135504.85252399999</v>
      </c>
      <c r="C101" s="5">
        <v>2.7100970504799999E-2</v>
      </c>
      <c r="D101">
        <v>25533.232451599401</v>
      </c>
      <c r="E101" s="18">
        <v>4239.6838154503293</v>
      </c>
      <c r="F101" s="4">
        <v>5.3995229589843602E-3</v>
      </c>
      <c r="G101" s="4">
        <v>4280.3917200000087</v>
      </c>
      <c r="H101" s="4">
        <v>2.0528370920410002E-2</v>
      </c>
      <c r="I101" s="4">
        <v>4227.3636641343501</v>
      </c>
      <c r="J101" s="4">
        <v>0.10513996789428701</v>
      </c>
      <c r="K101" s="4">
        <v>4211.8271856831898</v>
      </c>
      <c r="L101" s="4">
        <v>1.327624994842528E-2</v>
      </c>
      <c r="M101" s="4">
        <v>4245.9387045101685</v>
      </c>
      <c r="N101" s="4">
        <v>0.10513996789428701</v>
      </c>
      <c r="O101" s="4">
        <v>4211.8271856831898</v>
      </c>
      <c r="P101" s="4">
        <v>0.10513996789428701</v>
      </c>
      <c r="Q101" s="4">
        <v>4211.8271856831898</v>
      </c>
      <c r="R101" s="4">
        <v>0.10513996789428701</v>
      </c>
      <c r="S101" s="4">
        <v>4211.8271856831898</v>
      </c>
      <c r="T101" s="4">
        <v>9.4507463664550609E-2</v>
      </c>
      <c r="U101" s="4">
        <v>4242.7198741150914</v>
      </c>
      <c r="V101" s="4">
        <v>2.8913186357421801E-2</v>
      </c>
      <c r="W101" s="4">
        <v>0</v>
      </c>
    </row>
    <row r="102" spans="1:23" x14ac:dyDescent="0.3">
      <c r="A102" t="s">
        <v>136</v>
      </c>
      <c r="B102">
        <v>2270829.1249192501</v>
      </c>
      <c r="C102" s="5">
        <v>0.45416582498385005</v>
      </c>
      <c r="D102">
        <v>566023.95326285996</v>
      </c>
      <c r="E102" s="18">
        <v>5608.3211231788391</v>
      </c>
      <c r="F102" s="4">
        <v>0.32693804141153199</v>
      </c>
      <c r="G102" s="4">
        <v>5594.7717473245784</v>
      </c>
      <c r="H102" s="4">
        <v>0.63978811309593198</v>
      </c>
      <c r="I102" s="4">
        <v>5590.3289786429805</v>
      </c>
      <c r="J102" s="4">
        <v>2.75708882148672</v>
      </c>
      <c r="K102" s="4">
        <v>5610.5374188339356</v>
      </c>
      <c r="L102" s="4">
        <v>0.414503081007212</v>
      </c>
      <c r="M102" s="4">
        <v>5597.987334207668</v>
      </c>
      <c r="N102" s="4">
        <v>2.75708882148672</v>
      </c>
      <c r="O102" s="4">
        <v>5610.5374188339356</v>
      </c>
      <c r="P102" s="4">
        <v>1.7678125391533661</v>
      </c>
      <c r="Q102" s="4">
        <v>5606.4608381220687</v>
      </c>
      <c r="R102" s="4">
        <v>0.32693804141153199</v>
      </c>
      <c r="S102" s="4">
        <v>5594.7717473245784</v>
      </c>
      <c r="T102" s="4">
        <v>2.7680590581958597</v>
      </c>
      <c r="U102" s="4">
        <v>5588.3020104643583</v>
      </c>
      <c r="V102" s="4">
        <v>1.4116802211341459</v>
      </c>
      <c r="W102" s="4">
        <v>0</v>
      </c>
    </row>
    <row r="103" spans="1:23" x14ac:dyDescent="0.3">
      <c r="A103" t="s">
        <v>137</v>
      </c>
      <c r="B103">
        <v>404357.67509199999</v>
      </c>
      <c r="C103" s="5">
        <v>8.0871535018399998E-2</v>
      </c>
      <c r="D103">
        <v>123559.63203490899</v>
      </c>
      <c r="E103" s="18">
        <v>6875.328185999987</v>
      </c>
      <c r="F103" s="4">
        <v>0.80079662113465999</v>
      </c>
      <c r="G103" s="4">
        <v>7411.9943108524931</v>
      </c>
      <c r="H103" s="4">
        <v>0.78788366053855396</v>
      </c>
      <c r="I103" s="4">
        <v>7533.4726397839213</v>
      </c>
      <c r="J103" s="4">
        <v>0.81455470703293997</v>
      </c>
      <c r="K103" s="4">
        <v>7286.8033893271368</v>
      </c>
      <c r="L103" s="4">
        <v>0.85295712438239402</v>
      </c>
      <c r="M103" s="4">
        <v>6958.7319577144153</v>
      </c>
      <c r="N103" s="4">
        <v>0.79805876383221996</v>
      </c>
      <c r="O103" s="4">
        <v>7437.422241312358</v>
      </c>
      <c r="P103" s="4">
        <v>0.27723292974371999</v>
      </c>
      <c r="Q103" s="4">
        <v>6904.4150777733994</v>
      </c>
      <c r="R103" s="4">
        <v>0.81243468891672199</v>
      </c>
      <c r="S103" s="4">
        <v>7305.8180318644827</v>
      </c>
      <c r="T103" s="4">
        <v>0.81243468891672199</v>
      </c>
      <c r="U103" s="4">
        <v>7305.8180318644827</v>
      </c>
      <c r="V103" s="4">
        <v>0.78015213635787795</v>
      </c>
      <c r="W103" s="4">
        <v>0</v>
      </c>
    </row>
    <row r="104" spans="1:23" x14ac:dyDescent="0.3">
      <c r="A104" t="s">
        <v>183</v>
      </c>
      <c r="B104">
        <v>278041.16314399999</v>
      </c>
      <c r="C104" s="5">
        <v>5.5608232628799999E-2</v>
      </c>
      <c r="D104">
        <v>82965.236837169898</v>
      </c>
      <c r="E104" s="18">
        <v>6713.8182265103414</v>
      </c>
      <c r="F104" s="4">
        <v>1.513842267772058</v>
      </c>
      <c r="G104" s="4">
        <v>6727.4306024211746</v>
      </c>
      <c r="H104" s="4">
        <v>1.1704670184593199E-2</v>
      </c>
      <c r="I104" s="4">
        <v>6725.4548348936387</v>
      </c>
      <c r="J104" s="4">
        <v>2.3475607341331401</v>
      </c>
      <c r="K104" s="4">
        <v>6640.432579966101</v>
      </c>
      <c r="L104" s="4">
        <v>3.3278652120132403E-2</v>
      </c>
      <c r="M104" s="4">
        <v>6662.7816724839258</v>
      </c>
      <c r="N104" s="4">
        <v>2.3475607341331401</v>
      </c>
      <c r="O104" s="4">
        <v>6640.432579966101</v>
      </c>
      <c r="P104" s="4">
        <v>0.49811909904083201</v>
      </c>
      <c r="Q104" s="4">
        <v>6667.0114683249039</v>
      </c>
      <c r="R104" s="4" t="e">
        <v>#N/A</v>
      </c>
      <c r="S104" s="4" t="e">
        <v>#N/A</v>
      </c>
      <c r="T104" s="4" t="e">
        <v>#N/A</v>
      </c>
      <c r="U104" s="4" t="e">
        <v>#N/A</v>
      </c>
      <c r="V104" s="4" t="e">
        <v>#N/A</v>
      </c>
      <c r="W104" s="4" t="e">
        <v>#N/A</v>
      </c>
    </row>
    <row r="105" spans="1:23" x14ac:dyDescent="0.3">
      <c r="A105" t="s">
        <v>139</v>
      </c>
      <c r="B105">
        <v>14008.7312869</v>
      </c>
      <c r="C105" s="5">
        <v>2.80174625738E-3</v>
      </c>
      <c r="D105">
        <v>4524.6460173682099</v>
      </c>
      <c r="E105" s="18">
        <v>7267.2202289999877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3">
      <c r="A106" t="s">
        <v>141</v>
      </c>
      <c r="B106">
        <v>15383172.4161672</v>
      </c>
      <c r="C106" s="20">
        <v>3.0766344832334398</v>
      </c>
      <c r="D106">
        <v>4500144.4846594501</v>
      </c>
      <c r="E106" s="18">
        <v>6582.0786613835171</v>
      </c>
      <c r="F106" s="4">
        <v>60.269258338683798</v>
      </c>
      <c r="G106" s="4">
        <v>6526.1102294572793</v>
      </c>
      <c r="H106" s="4">
        <v>68.523643212834799</v>
      </c>
      <c r="I106" s="4">
        <v>6336.8018634284826</v>
      </c>
      <c r="J106" s="4">
        <v>68.643931387963207</v>
      </c>
      <c r="K106" s="4">
        <v>6325.6975703483831</v>
      </c>
      <c r="L106" s="4">
        <v>13.24838992906964</v>
      </c>
      <c r="M106" s="4">
        <v>6357.0612064553197</v>
      </c>
      <c r="N106" s="4">
        <v>60.269258338683798</v>
      </c>
      <c r="O106" s="4">
        <v>6526.1102294572793</v>
      </c>
      <c r="P106" s="4">
        <v>16.519393852485141</v>
      </c>
      <c r="Q106" s="4">
        <v>6453.6235747099154</v>
      </c>
      <c r="R106" s="4">
        <v>60.269258338683798</v>
      </c>
      <c r="S106" s="4">
        <v>6526.1102294572793</v>
      </c>
      <c r="T106" s="4">
        <v>33.912552056188602</v>
      </c>
      <c r="U106" s="4">
        <v>6361.919198976695</v>
      </c>
      <c r="V106" s="4">
        <v>15.263615719245479</v>
      </c>
      <c r="W106" s="4">
        <v>0</v>
      </c>
    </row>
    <row r="107" spans="1:23" x14ac:dyDescent="0.3">
      <c r="A107" t="s">
        <v>144</v>
      </c>
      <c r="B107">
        <v>8362.2434954799992</v>
      </c>
      <c r="C107" s="5">
        <v>1.6724486990959998E-3</v>
      </c>
      <c r="D107">
        <v>3077.4922371169</v>
      </c>
      <c r="E107" s="18">
        <v>8280.5021609999931</v>
      </c>
      <c r="F107" s="4">
        <v>1.8962414018373139</v>
      </c>
      <c r="G107" s="4">
        <v>8269.1212125244347</v>
      </c>
      <c r="H107" s="4">
        <v>1.9101599357750361</v>
      </c>
      <c r="I107" s="4">
        <v>8208.8675960203473</v>
      </c>
      <c r="J107" s="4">
        <v>1.9021206587569841</v>
      </c>
      <c r="K107" s="4">
        <v>8243.562219784144</v>
      </c>
      <c r="L107" s="4">
        <v>1.8595563966934741</v>
      </c>
      <c r="M107" s="4">
        <v>8432.2529974791087</v>
      </c>
      <c r="N107" s="4">
        <v>1.8463558213178479</v>
      </c>
      <c r="O107" s="4">
        <v>8492.5396388698937</v>
      </c>
      <c r="P107" s="4">
        <v>1.8728562474885342</v>
      </c>
      <c r="Q107" s="4">
        <v>8372.3724236854432</v>
      </c>
      <c r="R107" s="4">
        <v>1.8739008137338038</v>
      </c>
      <c r="S107" s="4">
        <v>8367.7054223358955</v>
      </c>
      <c r="T107" s="4">
        <v>1.8739008137338038</v>
      </c>
      <c r="U107" s="4">
        <v>8367.7054223358955</v>
      </c>
      <c r="V107" s="4">
        <v>1.8662616632743798</v>
      </c>
      <c r="W107" s="4">
        <v>0</v>
      </c>
    </row>
    <row r="108" spans="1:23" x14ac:dyDescent="0.3">
      <c r="A108" t="s">
        <v>146</v>
      </c>
      <c r="B108">
        <v>124580.51083565</v>
      </c>
      <c r="C108" s="5">
        <v>2.491610216713E-2</v>
      </c>
      <c r="D108">
        <v>37497.635401925101</v>
      </c>
      <c r="E108" s="18">
        <v>6772.3016295569905</v>
      </c>
      <c r="F108" s="4">
        <v>0.77910751892982399</v>
      </c>
      <c r="G108" s="4">
        <v>6772.171839963009</v>
      </c>
      <c r="H108" s="4">
        <v>6.6122980537109202E-2</v>
      </c>
      <c r="I108" s="4">
        <v>6772.0319147457694</v>
      </c>
      <c r="J108" s="4">
        <v>0.77911533810482203</v>
      </c>
      <c r="K108" s="4">
        <v>6772.1038746770691</v>
      </c>
      <c r="L108" s="4">
        <v>5.66810621508788E-2</v>
      </c>
      <c r="M108" s="4">
        <v>6772.103806701547</v>
      </c>
      <c r="N108" s="4">
        <v>0.77911533810482203</v>
      </c>
      <c r="O108" s="4">
        <v>6772.1038746770691</v>
      </c>
      <c r="P108" s="4">
        <v>0.77907676776939394</v>
      </c>
      <c r="Q108" s="4">
        <v>6772.439146281622</v>
      </c>
      <c r="R108" s="4">
        <v>0.31338102143676605</v>
      </c>
      <c r="S108" s="4">
        <v>6772.122500887308</v>
      </c>
      <c r="T108" s="4">
        <v>0.77910751892982399</v>
      </c>
      <c r="U108" s="4">
        <v>6772.171839963009</v>
      </c>
      <c r="V108" s="4">
        <v>0.77907676776939394</v>
      </c>
      <c r="W108" s="4">
        <v>0</v>
      </c>
    </row>
    <row r="109" spans="1:23" x14ac:dyDescent="0.3">
      <c r="A109" t="s">
        <v>190</v>
      </c>
      <c r="B109">
        <v>253924.37682080001</v>
      </c>
      <c r="C109" s="5">
        <v>5.0784875364160001E-2</v>
      </c>
      <c r="D109">
        <v>88908.463039915005</v>
      </c>
      <c r="E109" s="18">
        <v>7878.0952165527715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 t="e">
        <v>#N/A</v>
      </c>
      <c r="S109" s="4" t="e">
        <v>#N/A</v>
      </c>
      <c r="T109" s="4" t="e">
        <v>#N/A</v>
      </c>
      <c r="U109" s="4" t="e">
        <v>#N/A</v>
      </c>
      <c r="V109" s="4" t="e">
        <v>#N/A</v>
      </c>
      <c r="W109" s="4" t="e">
        <v>#N/A</v>
      </c>
    </row>
    <row r="110" spans="1:23" x14ac:dyDescent="0.3">
      <c r="A110" t="s">
        <v>148</v>
      </c>
      <c r="B110">
        <v>1305598.96312756</v>
      </c>
      <c r="C110" s="5">
        <v>0.26111979262551199</v>
      </c>
      <c r="D110">
        <v>489883.37544246297</v>
      </c>
      <c r="E110" s="18">
        <v>8442.3902429053196</v>
      </c>
      <c r="F110" s="4">
        <v>0.50033032721799597</v>
      </c>
      <c r="G110" s="4">
        <v>8449.9175245036677</v>
      </c>
      <c r="H110" s="4">
        <v>0.50127051755857799</v>
      </c>
      <c r="I110" s="4">
        <v>8434.0687351634297</v>
      </c>
      <c r="J110" s="4">
        <v>0.49939847468920395</v>
      </c>
      <c r="K110" s="4">
        <v>8465.6846471769804</v>
      </c>
      <c r="L110" s="4">
        <v>0.49810218759944402</v>
      </c>
      <c r="M110" s="4">
        <v>8487.716186060612</v>
      </c>
      <c r="N110" s="4">
        <v>0.49818492734185804</v>
      </c>
      <c r="O110" s="4">
        <v>8486.3065258875013</v>
      </c>
      <c r="P110" s="4">
        <v>0.50392016903018599</v>
      </c>
      <c r="Q110" s="4">
        <v>8389.7217452845161</v>
      </c>
      <c r="R110" s="4">
        <v>0.49855716604983796</v>
      </c>
      <c r="S110" s="4">
        <v>8479.9703783164077</v>
      </c>
      <c r="T110" s="4">
        <v>0.49855716604983796</v>
      </c>
      <c r="U110" s="4">
        <v>8479.9703783164077</v>
      </c>
      <c r="V110" s="4">
        <v>0.501620783314634</v>
      </c>
      <c r="W110" s="4">
        <v>0</v>
      </c>
    </row>
    <row r="111" spans="1:23" x14ac:dyDescent="0.3">
      <c r="A111" t="s">
        <v>149</v>
      </c>
      <c r="B111">
        <v>204167490.03875101</v>
      </c>
      <c r="C111" s="5">
        <v>40.833498007750201</v>
      </c>
      <c r="D111">
        <v>73432447.949924201</v>
      </c>
      <c r="E111" s="18">
        <v>8092.5228524859722</v>
      </c>
      <c r="F111" s="4">
        <v>112.05814491758959</v>
      </c>
      <c r="G111" s="4">
        <v>7637.1757771769544</v>
      </c>
      <c r="H111" s="4">
        <v>113.29367711567718</v>
      </c>
      <c r="I111" s="4">
        <v>7553.8880173002717</v>
      </c>
      <c r="J111" s="4">
        <v>111.43848021702381</v>
      </c>
      <c r="K111" s="4">
        <v>7679.64304909157</v>
      </c>
      <c r="L111" s="4">
        <v>109.4441301171254</v>
      </c>
      <c r="M111" s="4">
        <v>7819.5856560248913</v>
      </c>
      <c r="N111" s="4">
        <v>113.29367711567718</v>
      </c>
      <c r="O111" s="4">
        <v>7553.8880173002717</v>
      </c>
      <c r="P111" s="4">
        <v>64.074643110962612</v>
      </c>
      <c r="Q111" s="4">
        <v>8038.2270829933768</v>
      </c>
      <c r="R111" s="4">
        <v>113.29367711567718</v>
      </c>
      <c r="S111" s="4">
        <v>7553.8880173002717</v>
      </c>
      <c r="T111" s="4">
        <v>64.074643110962612</v>
      </c>
      <c r="U111" s="4">
        <v>8038.2270829933768</v>
      </c>
      <c r="V111" s="4">
        <v>64.074643110962612</v>
      </c>
      <c r="W111" s="4">
        <v>0</v>
      </c>
    </row>
    <row r="112" spans="1:23" x14ac:dyDescent="0.3">
      <c r="A112" t="s">
        <v>208</v>
      </c>
      <c r="B112">
        <v>0</v>
      </c>
      <c r="C112" s="20">
        <v>0</v>
      </c>
      <c r="D112">
        <v>0</v>
      </c>
      <c r="E112" s="18" t="e">
        <v>#DIV/0!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 t="e">
        <v>#N/A</v>
      </c>
      <c r="O112" s="4" t="e">
        <v>#N/A</v>
      </c>
      <c r="P112" s="4" t="e">
        <v>#N/A</v>
      </c>
      <c r="Q112" s="4" t="e">
        <v>#N/A</v>
      </c>
      <c r="R112" s="4" t="e">
        <v>#N/A</v>
      </c>
      <c r="S112" s="4" t="e">
        <v>#N/A</v>
      </c>
      <c r="T112" s="4" t="e">
        <v>#N/A</v>
      </c>
      <c r="U112" s="4" t="e">
        <v>#N/A</v>
      </c>
      <c r="V112" s="4" t="e">
        <v>#N/A</v>
      </c>
      <c r="W112" s="4" t="e">
        <v>#N/A</v>
      </c>
    </row>
    <row r="113" spans="1:23" x14ac:dyDescent="0.3">
      <c r="A113" t="s">
        <v>150</v>
      </c>
      <c r="B113">
        <v>4447809.3464144804</v>
      </c>
      <c r="C113" s="5">
        <v>0.88956186928289604</v>
      </c>
      <c r="D113">
        <v>968741.95834512101</v>
      </c>
      <c r="E113" s="18">
        <v>4900.5459463626121</v>
      </c>
      <c r="F113" s="4">
        <v>0.40645295789550601</v>
      </c>
      <c r="G113" s="4">
        <v>4845.7239317278199</v>
      </c>
      <c r="H113" s="4">
        <v>0.71749704057563601</v>
      </c>
      <c r="I113" s="4">
        <v>4781.7976033246823</v>
      </c>
      <c r="J113" s="4">
        <v>3.0690658697141799</v>
      </c>
      <c r="K113" s="4">
        <v>4711.042582265095</v>
      </c>
      <c r="L113" s="4">
        <v>0.60418640042342997</v>
      </c>
      <c r="M113" s="4">
        <v>4779.9578574766565</v>
      </c>
      <c r="N113" s="4">
        <v>3.0690658697141799</v>
      </c>
      <c r="O113" s="4">
        <v>4711.042582265095</v>
      </c>
      <c r="P113" s="4">
        <v>3.0766916796145001</v>
      </c>
      <c r="Q113" s="4">
        <v>4699.3659117027964</v>
      </c>
      <c r="R113" s="4">
        <v>0.40645295789550601</v>
      </c>
      <c r="S113" s="4">
        <v>4845.7239317278199</v>
      </c>
      <c r="T113" s="4">
        <v>3.0766916796145001</v>
      </c>
      <c r="U113" s="4">
        <v>4699.3659117027964</v>
      </c>
      <c r="V113" s="4">
        <v>3.0766916796145001</v>
      </c>
      <c r="W113" s="4">
        <v>0</v>
      </c>
    </row>
    <row r="114" spans="1:23" x14ac:dyDescent="0.3">
      <c r="A114" t="s">
        <v>151</v>
      </c>
      <c r="B114">
        <v>4240204.7483310001</v>
      </c>
      <c r="C114" s="5">
        <v>0.84804094966620003</v>
      </c>
      <c r="D114">
        <v>1094177.5814288999</v>
      </c>
      <c r="E114" s="18">
        <v>5806.0865084028328</v>
      </c>
      <c r="F114" s="4">
        <v>3.2090259367698599</v>
      </c>
      <c r="G114" s="4">
        <v>5809.7068603833623</v>
      </c>
      <c r="H114" s="4">
        <v>3.2692908835780798</v>
      </c>
      <c r="I114" s="4">
        <v>5702.6127878824891</v>
      </c>
      <c r="J114" s="4">
        <v>3.2071815416955602</v>
      </c>
      <c r="K114" s="4">
        <v>5813.0479231130857</v>
      </c>
      <c r="L114" s="4">
        <v>3.2611738724544002</v>
      </c>
      <c r="M114" s="4">
        <v>5716.8065025519854</v>
      </c>
      <c r="N114" s="4">
        <v>3.2090259367698599</v>
      </c>
      <c r="O114" s="4">
        <v>5809.7068603833623</v>
      </c>
      <c r="P114" s="4">
        <v>3.2090259367698599</v>
      </c>
      <c r="Q114" s="4">
        <v>5809.7068603833623</v>
      </c>
      <c r="R114" s="4">
        <v>3.2090259367698599</v>
      </c>
      <c r="S114" s="4">
        <v>5809.7068603833623</v>
      </c>
      <c r="T114" s="4">
        <v>3.1910303447166801</v>
      </c>
      <c r="U114" s="4">
        <v>5842.4702951721038</v>
      </c>
      <c r="V114" s="4">
        <v>3.24027666815048</v>
      </c>
      <c r="W114" s="4">
        <v>0</v>
      </c>
    </row>
    <row r="115" spans="1:23" x14ac:dyDescent="0.3">
      <c r="A115" t="s">
        <v>196</v>
      </c>
      <c r="B115">
        <v>0</v>
      </c>
      <c r="C115" s="5">
        <v>0</v>
      </c>
      <c r="D115">
        <v>0</v>
      </c>
      <c r="E115" s="18" t="e">
        <v>#DIV/0!</v>
      </c>
      <c r="F115" s="4">
        <v>0.36205384688659598</v>
      </c>
      <c r="G115" s="4">
        <v>5523.0718755279868</v>
      </c>
      <c r="H115" s="4">
        <v>8.0924882069339607E-2</v>
      </c>
      <c r="I115" s="4">
        <v>5420.6679099521052</v>
      </c>
      <c r="J115" s="4">
        <v>1.7089614297637061</v>
      </c>
      <c r="K115" s="4">
        <v>5512.5585843693289</v>
      </c>
      <c r="L115" s="4">
        <v>4.9471061485939001E-2</v>
      </c>
      <c r="M115" s="4">
        <v>5471.6496764527183</v>
      </c>
      <c r="N115" s="4">
        <v>1.7089614297637061</v>
      </c>
      <c r="O115" s="4">
        <v>5512.5585843693289</v>
      </c>
      <c r="P115" s="4">
        <v>0.34954280401900201</v>
      </c>
      <c r="Q115" s="4">
        <v>5421.5427273283167</v>
      </c>
      <c r="R115" s="4" t="e">
        <v>#N/A</v>
      </c>
      <c r="S115" s="4" t="e">
        <v>#N/A</v>
      </c>
      <c r="T115" s="4" t="e">
        <v>#N/A</v>
      </c>
      <c r="U115" s="4" t="e">
        <v>#N/A</v>
      </c>
      <c r="V115" s="4" t="e">
        <v>#N/A</v>
      </c>
      <c r="W115" s="4" t="e">
        <v>#N/A</v>
      </c>
    </row>
    <row r="116" spans="1:23" x14ac:dyDescent="0.3">
      <c r="A116" t="s">
        <v>153</v>
      </c>
      <c r="B116">
        <v>13116497.711561499</v>
      </c>
      <c r="C116" s="5">
        <v>2.6232995423122998</v>
      </c>
      <c r="D116">
        <v>4536085.9902203605</v>
      </c>
      <c r="E116" s="18">
        <v>7781.188014083662</v>
      </c>
      <c r="F116" s="4">
        <v>13.29093515805984</v>
      </c>
      <c r="G116" s="4">
        <v>7372.3367719975786</v>
      </c>
      <c r="H116" s="4">
        <v>12.47799363580034</v>
      </c>
      <c r="I116" s="4">
        <v>7852.6446526525424</v>
      </c>
      <c r="J116" s="4">
        <v>13.0765660523763</v>
      </c>
      <c r="K116" s="4">
        <v>7493.1942841518339</v>
      </c>
      <c r="L116" s="4">
        <v>12.8011967535552</v>
      </c>
      <c r="M116" s="4">
        <v>7654.381999306991</v>
      </c>
      <c r="N116" s="4">
        <v>12.5339881728107</v>
      </c>
      <c r="O116" s="4">
        <v>7817.5636237278468</v>
      </c>
      <c r="P116" s="4">
        <v>1.9971636269065041</v>
      </c>
      <c r="Q116" s="4">
        <v>7733.0187541983087</v>
      </c>
      <c r="R116" s="4">
        <v>12.7338548113373</v>
      </c>
      <c r="S116" s="4">
        <v>7694.8615679802306</v>
      </c>
      <c r="T116" s="4">
        <v>12.7338548113373</v>
      </c>
      <c r="U116" s="4">
        <v>7694.8615679802306</v>
      </c>
      <c r="V116" s="4">
        <v>4.0806847883544606</v>
      </c>
      <c r="W116" s="4">
        <v>0</v>
      </c>
    </row>
    <row r="117" spans="1:23" x14ac:dyDescent="0.3">
      <c r="A117" t="s">
        <v>155</v>
      </c>
      <c r="B117">
        <v>11205.8523131</v>
      </c>
      <c r="C117" s="5">
        <v>2.2411704626199998E-3</v>
      </c>
      <c r="D117">
        <v>3127.89199305495</v>
      </c>
      <c r="E117" s="18">
        <v>6280.429892999995</v>
      </c>
      <c r="F117" s="4">
        <v>6.3750547729895999</v>
      </c>
      <c r="G117" s="4">
        <v>7028.0572631047244</v>
      </c>
      <c r="H117" s="4">
        <v>6.3828963927718601</v>
      </c>
      <c r="I117" s="4">
        <v>7019.4230397876063</v>
      </c>
      <c r="J117" s="4">
        <v>6.5365056173498202</v>
      </c>
      <c r="K117" s="4">
        <v>6854.4651565931899</v>
      </c>
      <c r="L117" s="4">
        <v>6.49753477311494</v>
      </c>
      <c r="M117" s="4">
        <v>6895.5767940462583</v>
      </c>
      <c r="N117" s="4">
        <v>6.3914772392609205</v>
      </c>
      <c r="O117" s="4">
        <v>7009.9991477370813</v>
      </c>
      <c r="P117" s="4">
        <v>0.24092628848867201</v>
      </c>
      <c r="Q117" s="4">
        <v>6335.3764248599618</v>
      </c>
      <c r="R117" s="4">
        <v>6.3778685700046003</v>
      </c>
      <c r="S117" s="4">
        <v>7024.956614928753</v>
      </c>
      <c r="T117" s="4">
        <v>6.3778685700046003</v>
      </c>
      <c r="U117" s="4">
        <v>7024.956614928753</v>
      </c>
      <c r="V117" s="4">
        <v>6.3730011686900605</v>
      </c>
      <c r="W117" s="4">
        <v>0</v>
      </c>
    </row>
    <row r="118" spans="1:23" x14ac:dyDescent="0.3">
      <c r="A118" t="s">
        <v>156</v>
      </c>
      <c r="B118">
        <v>286576.91080680001</v>
      </c>
      <c r="C118" s="20">
        <v>5.731538216136E-2</v>
      </c>
      <c r="D118">
        <v>82757.346994357693</v>
      </c>
      <c r="E118" s="18">
        <v>6497.5238309703527</v>
      </c>
      <c r="F118" s="4">
        <v>7.4583596311772196</v>
      </c>
      <c r="G118" s="4">
        <v>6333.6648185391787</v>
      </c>
      <c r="H118" s="4">
        <v>7.5203724207228202</v>
      </c>
      <c r="I118" s="4">
        <v>6281.4375880948264</v>
      </c>
      <c r="J118" s="4">
        <v>7.4961483318158599</v>
      </c>
      <c r="K118" s="4">
        <v>6301.7362929579231</v>
      </c>
      <c r="L118" s="4">
        <v>7.5784790108126998</v>
      </c>
      <c r="M118" s="4">
        <v>6233.2758238957258</v>
      </c>
      <c r="N118" s="4">
        <v>7.4583596311772196</v>
      </c>
      <c r="O118" s="4">
        <v>6333.6648185391787</v>
      </c>
      <c r="P118" s="4">
        <v>7.2253922896441596</v>
      </c>
      <c r="Q118" s="4">
        <v>6537.8803124233482</v>
      </c>
      <c r="R118" s="4">
        <v>7.3583991308316605</v>
      </c>
      <c r="S118" s="4">
        <v>6419.7047700320909</v>
      </c>
      <c r="T118" s="4">
        <v>7.3583991308316605</v>
      </c>
      <c r="U118" s="4">
        <v>6419.7047700320909</v>
      </c>
      <c r="V118" s="4">
        <v>7.4300210897938204</v>
      </c>
      <c r="W118" s="4">
        <v>0</v>
      </c>
    </row>
    <row r="119" spans="1:23" x14ac:dyDescent="0.3">
      <c r="A119" t="s">
        <v>157</v>
      </c>
      <c r="B119">
        <v>2441578.9779325998</v>
      </c>
      <c r="C119" s="5">
        <v>0.48831579558651994</v>
      </c>
      <c r="D119">
        <v>910078.45855006203</v>
      </c>
      <c r="E119" s="18">
        <v>8386.6897210570842</v>
      </c>
      <c r="F119" s="4">
        <v>0.48881601221216398</v>
      </c>
      <c r="G119" s="4">
        <v>8432.6206528007533</v>
      </c>
      <c r="H119" s="4">
        <v>0.49317297543337596</v>
      </c>
      <c r="I119" s="4">
        <v>8358.1222113352524</v>
      </c>
      <c r="J119" s="4">
        <v>0.48819751239651005</v>
      </c>
      <c r="K119" s="4">
        <v>8443.3039811398012</v>
      </c>
      <c r="L119" s="4">
        <v>0.48876858269324203</v>
      </c>
      <c r="M119" s="4">
        <v>8433.4389442273659</v>
      </c>
      <c r="N119" s="4">
        <v>0.48939167874856798</v>
      </c>
      <c r="O119" s="4">
        <v>8422.7014454770324</v>
      </c>
      <c r="P119" s="4">
        <v>0.48939167874856798</v>
      </c>
      <c r="Q119" s="4">
        <v>8422.7014454770324</v>
      </c>
      <c r="R119" s="4">
        <v>0.49817406734082598</v>
      </c>
      <c r="S119" s="4">
        <v>8274.2163236287688</v>
      </c>
      <c r="T119" s="4">
        <v>0.49817406734082598</v>
      </c>
      <c r="U119" s="4">
        <v>8274.2163236287688</v>
      </c>
      <c r="V119" s="4">
        <v>0.48335719163869395</v>
      </c>
      <c r="W119" s="4">
        <v>0</v>
      </c>
    </row>
    <row r="120" spans="1:23" x14ac:dyDescent="0.3">
      <c r="A120" t="s">
        <v>158</v>
      </c>
      <c r="B120">
        <v>8400.8466609799907</v>
      </c>
      <c r="C120" s="5">
        <v>1.6801693321959982E-3</v>
      </c>
      <c r="D120">
        <v>2129.4154243220601</v>
      </c>
      <c r="E120" s="18">
        <v>5703.2164709999906</v>
      </c>
      <c r="F120" s="4">
        <v>4.5409609923345204</v>
      </c>
      <c r="G120" s="4">
        <v>6062.8135864796841</v>
      </c>
      <c r="H120" s="4">
        <v>4.5517638317314599</v>
      </c>
      <c r="I120" s="4">
        <v>6048.4245267899569</v>
      </c>
      <c r="J120" s="4">
        <v>4.41435475873178</v>
      </c>
      <c r="K120" s="4">
        <v>6236.6985674503212</v>
      </c>
      <c r="L120" s="4">
        <v>4.0395502165200803</v>
      </c>
      <c r="M120" s="4">
        <v>6815.3627320709284</v>
      </c>
      <c r="N120" s="4">
        <v>4.5409609923345204</v>
      </c>
      <c r="O120" s="4">
        <v>6062.8135864796841</v>
      </c>
      <c r="P120" s="4">
        <v>1.22486978134028</v>
      </c>
      <c r="Q120" s="4">
        <v>6860.5266195012646</v>
      </c>
      <c r="R120" s="4">
        <v>1.22486978134028</v>
      </c>
      <c r="S120" s="4">
        <v>6860.5266195012646</v>
      </c>
      <c r="T120" s="4">
        <v>1.22486978134028</v>
      </c>
      <c r="U120" s="4">
        <v>6860.5266195012646</v>
      </c>
      <c r="V120" s="4">
        <v>4.5796673397293999</v>
      </c>
      <c r="W120" s="4">
        <v>0</v>
      </c>
    </row>
    <row r="121" spans="1:23" x14ac:dyDescent="0.3">
      <c r="A121" t="s">
        <v>159</v>
      </c>
      <c r="B121">
        <v>37430417.238768801</v>
      </c>
      <c r="C121" s="5">
        <v>7.4860834477537601</v>
      </c>
      <c r="D121">
        <v>6687531.7241454804</v>
      </c>
      <c r="E121" s="18">
        <v>4019.978266163263</v>
      </c>
      <c r="F121" s="4">
        <v>15.25341869409546</v>
      </c>
      <c r="G121" s="4">
        <v>4074.3484755275626</v>
      </c>
      <c r="H121" s="4">
        <v>9.2445987537416805</v>
      </c>
      <c r="I121" s="4">
        <v>4029.5218829708697</v>
      </c>
      <c r="J121" s="4">
        <v>10.992649040111599</v>
      </c>
      <c r="K121" s="4">
        <v>4106.8453115335178</v>
      </c>
      <c r="L121" s="4">
        <v>6.60178636978294</v>
      </c>
      <c r="M121" s="4">
        <v>4032.5289464249331</v>
      </c>
      <c r="N121" s="4">
        <v>10.992649040111599</v>
      </c>
      <c r="O121" s="4">
        <v>4106.8453115335178</v>
      </c>
      <c r="P121" s="4">
        <v>10.992649040111599</v>
      </c>
      <c r="Q121" s="4">
        <v>4106.8453115335178</v>
      </c>
      <c r="R121" s="4">
        <v>10.992649040111599</v>
      </c>
      <c r="S121" s="4">
        <v>4106.8453115335178</v>
      </c>
      <c r="T121" s="4">
        <v>10.992649040111599</v>
      </c>
      <c r="U121" s="4">
        <v>4106.8453115335178</v>
      </c>
      <c r="V121" s="4">
        <v>7.2703933083831593</v>
      </c>
      <c r="W121" s="4">
        <v>0</v>
      </c>
    </row>
    <row r="122" spans="1:23" x14ac:dyDescent="0.3">
      <c r="A122" t="s">
        <v>160</v>
      </c>
      <c r="B122">
        <v>514595.26161639998</v>
      </c>
      <c r="C122" s="5">
        <v>0.10291905232328</v>
      </c>
      <c r="D122">
        <v>146500.04223997099</v>
      </c>
      <c r="E122" s="18">
        <v>6405.521380133705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x14ac:dyDescent="0.3">
      <c r="A123" t="s">
        <v>162</v>
      </c>
      <c r="B123">
        <v>23584.517502899998</v>
      </c>
      <c r="C123" s="5">
        <v>4.7169035005799999E-3</v>
      </c>
      <c r="D123">
        <v>5952.6666181826704</v>
      </c>
      <c r="E123" s="18">
        <v>5678.9374169999937</v>
      </c>
      <c r="F123" s="4">
        <v>5.3251964207506797</v>
      </c>
      <c r="G123" s="4">
        <v>5295.7571484878927</v>
      </c>
      <c r="H123" s="4">
        <v>3.2804093353971</v>
      </c>
      <c r="I123" s="4">
        <v>5373.164150463519</v>
      </c>
      <c r="J123" s="4">
        <v>18.615448820686179</v>
      </c>
      <c r="K123" s="4">
        <v>5398.1776624333834</v>
      </c>
      <c r="L123" s="4">
        <v>12.589100718073539</v>
      </c>
      <c r="M123" s="4">
        <v>5259.5353195217776</v>
      </c>
      <c r="N123" s="4">
        <v>8.57916261112514</v>
      </c>
      <c r="O123" s="4">
        <v>5251.4854396597439</v>
      </c>
      <c r="P123" s="4">
        <v>8.57916261112514</v>
      </c>
      <c r="Q123" s="4">
        <v>5251.4854396597439</v>
      </c>
      <c r="R123" s="4">
        <v>18.558567275991638</v>
      </c>
      <c r="S123" s="4">
        <v>5414.7229420020276</v>
      </c>
      <c r="T123" s="4">
        <v>18.558567275991638</v>
      </c>
      <c r="U123" s="4">
        <v>5414.7229420020276</v>
      </c>
      <c r="V123" s="4">
        <v>18.926600749274002</v>
      </c>
      <c r="W123" s="4">
        <v>0</v>
      </c>
    </row>
    <row r="124" spans="1:23" x14ac:dyDescent="0.3">
      <c r="A124" t="s">
        <v>161</v>
      </c>
      <c r="B124">
        <v>205194.17820952999</v>
      </c>
      <c r="C124" s="20">
        <v>4.1038835641905996E-2</v>
      </c>
      <c r="D124">
        <v>67807.714465094905</v>
      </c>
      <c r="E124" s="18">
        <v>7435.2673588366824</v>
      </c>
      <c r="F124" s="4">
        <v>1.4516257249637901</v>
      </c>
      <c r="G124" s="4">
        <v>7013.6880498270075</v>
      </c>
      <c r="H124" s="4">
        <v>1.6800565762672017</v>
      </c>
      <c r="I124" s="4">
        <v>6060.0637763169834</v>
      </c>
      <c r="J124" s="4">
        <v>1.5034315337562558</v>
      </c>
      <c r="K124" s="4">
        <v>6772.0077512027474</v>
      </c>
      <c r="L124" s="4">
        <v>1.5958112416260761</v>
      </c>
      <c r="M124" s="4">
        <v>6379.9838818190447</v>
      </c>
      <c r="N124" s="4">
        <v>1.6800565762672017</v>
      </c>
      <c r="O124" s="4">
        <v>6060.0637763169834</v>
      </c>
      <c r="P124" s="4">
        <v>1.5397364134221319</v>
      </c>
      <c r="Q124" s="4">
        <v>6612.3330663926581</v>
      </c>
      <c r="R124" s="4">
        <v>1.5808759396365379</v>
      </c>
      <c r="S124" s="4">
        <v>6440.2586849040081</v>
      </c>
      <c r="T124" s="4">
        <v>1.5808759396365379</v>
      </c>
      <c r="U124" s="4">
        <v>6440.2586849040081</v>
      </c>
      <c r="V124" s="4">
        <v>1.377174736853624</v>
      </c>
      <c r="W124" s="4">
        <v>0</v>
      </c>
    </row>
    <row r="125" spans="1:23" x14ac:dyDescent="0.3">
      <c r="A125" t="s">
        <v>163</v>
      </c>
      <c r="B125">
        <v>62232.0443256</v>
      </c>
      <c r="C125" s="5">
        <v>1.2446408865120001E-2</v>
      </c>
      <c r="D125">
        <v>23048.2725819806</v>
      </c>
      <c r="E125" s="18">
        <v>8333.1045719999929</v>
      </c>
      <c r="F125" s="4">
        <v>0.25770189246422803</v>
      </c>
      <c r="G125" s="4">
        <v>8591.3222399301121</v>
      </c>
      <c r="H125" s="4">
        <v>0.25748464732071397</v>
      </c>
      <c r="I125" s="4">
        <v>8598.5709168994363</v>
      </c>
      <c r="J125" s="4">
        <v>0.257430184811274</v>
      </c>
      <c r="K125" s="4">
        <v>8600.3900499202027</v>
      </c>
      <c r="L125" s="4">
        <v>0.25552183910603404</v>
      </c>
      <c r="M125" s="4">
        <v>8664.6214184504825</v>
      </c>
      <c r="N125" s="4">
        <v>0.25675814751273196</v>
      </c>
      <c r="O125" s="4">
        <v>8622.9006613712736</v>
      </c>
      <c r="P125" s="4">
        <v>0.25772969347509</v>
      </c>
      <c r="Q125" s="4">
        <v>8590.3955037062387</v>
      </c>
      <c r="R125" s="4">
        <v>0.25640829336070803</v>
      </c>
      <c r="S125" s="4">
        <v>8634.6661060818606</v>
      </c>
      <c r="T125" s="4">
        <v>0.25640829336070803</v>
      </c>
      <c r="U125" s="4">
        <v>8634.6661060818606</v>
      </c>
      <c r="V125" s="4">
        <v>0.26631052080964601</v>
      </c>
      <c r="W125" s="4">
        <v>0</v>
      </c>
    </row>
    <row r="126" spans="1:23" x14ac:dyDescent="0.3">
      <c r="A126" t="s">
        <v>164</v>
      </c>
      <c r="B126">
        <v>1997.9291206800001</v>
      </c>
      <c r="C126" s="5">
        <v>3.9958582413599999E-4</v>
      </c>
      <c r="D126">
        <v>702.15406723576098</v>
      </c>
      <c r="E126" s="18">
        <v>7907.4209136245918</v>
      </c>
      <c r="F126" s="4">
        <v>11.89418531524022</v>
      </c>
      <c r="G126" s="4">
        <v>7748.3238706491184</v>
      </c>
      <c r="H126" s="4">
        <v>12.113347554680841</v>
      </c>
      <c r="I126" s="4">
        <v>7608.1363623045327</v>
      </c>
      <c r="J126" s="4">
        <v>12.413273673076461</v>
      </c>
      <c r="K126" s="4">
        <v>7424.3106554468959</v>
      </c>
      <c r="L126" s="4">
        <v>12.531484143950699</v>
      </c>
      <c r="M126" s="4">
        <v>7354.2765518710094</v>
      </c>
      <c r="N126" s="4">
        <v>11.285252695339679</v>
      </c>
      <c r="O126" s="4">
        <v>8166.4099589066445</v>
      </c>
      <c r="P126" s="4">
        <v>10.34758318736904</v>
      </c>
      <c r="Q126" s="4">
        <v>7038.5230086309966</v>
      </c>
      <c r="R126" s="4">
        <v>11.6444152275633</v>
      </c>
      <c r="S126" s="4">
        <v>7914.5236749931082</v>
      </c>
      <c r="T126" s="4">
        <v>11.6444152275633</v>
      </c>
      <c r="U126" s="4">
        <v>7914.5236749931082</v>
      </c>
      <c r="V126" s="4">
        <v>7.4227744299437601</v>
      </c>
      <c r="W126" s="4">
        <v>0</v>
      </c>
    </row>
    <row r="127" spans="1:23" x14ac:dyDescent="0.3">
      <c r="A127" t="s">
        <v>166</v>
      </c>
      <c r="B127">
        <v>27212.824601200002</v>
      </c>
      <c r="C127" s="5">
        <v>5.4425649202400001E-3</v>
      </c>
      <c r="D127">
        <v>4283.1475320253303</v>
      </c>
      <c r="E127" s="18">
        <v>3541.3751009999996</v>
      </c>
      <c r="F127" s="4">
        <v>21.0854613239432</v>
      </c>
      <c r="G127" s="4">
        <v>3034.1143527077656</v>
      </c>
      <c r="H127" s="4">
        <v>2.3031810661218</v>
      </c>
      <c r="I127" s="4">
        <v>3198.0814737187115</v>
      </c>
      <c r="J127" s="4">
        <v>115.30902192635479</v>
      </c>
      <c r="K127" s="4">
        <v>2997.8270062924962</v>
      </c>
      <c r="L127" s="4">
        <v>2.9740799193026199</v>
      </c>
      <c r="M127" s="4">
        <v>3224.38344034387</v>
      </c>
      <c r="N127" s="4">
        <v>115.30902192635479</v>
      </c>
      <c r="O127" s="4">
        <v>2997.8270062924962</v>
      </c>
      <c r="P127" s="4">
        <v>36.680373227620201</v>
      </c>
      <c r="Q127" s="4">
        <v>3092.9450279767025</v>
      </c>
      <c r="R127" s="4">
        <v>115.30902192635479</v>
      </c>
      <c r="S127" s="4">
        <v>2997.8270062924962</v>
      </c>
      <c r="T127" s="4">
        <v>115.30902192635479</v>
      </c>
      <c r="U127" s="4">
        <v>2997.8270062924962</v>
      </c>
      <c r="V127" s="4">
        <v>5.7565465829204398E-3</v>
      </c>
      <c r="W127" s="4">
        <v>0</v>
      </c>
    </row>
    <row r="128" spans="1:23" x14ac:dyDescent="0.3">
      <c r="A128" t="s">
        <v>167</v>
      </c>
      <c r="B128">
        <v>185169.0237466</v>
      </c>
      <c r="C128" s="5">
        <v>3.7033804749319998E-2</v>
      </c>
      <c r="D128">
        <v>65055.181188653798</v>
      </c>
      <c r="E128" s="18">
        <v>7904.8943885334229</v>
      </c>
      <c r="F128" s="4">
        <v>12.42464463608184</v>
      </c>
      <c r="G128" s="4">
        <v>8107.6564320770058</v>
      </c>
      <c r="H128" s="4">
        <v>12.366418045195919</v>
      </c>
      <c r="I128" s="4">
        <v>8145.8308810070703</v>
      </c>
      <c r="J128" s="4">
        <v>12.3880425597543</v>
      </c>
      <c r="K128" s="4">
        <v>8131.6115531651785</v>
      </c>
      <c r="L128" s="4">
        <v>12.287077099125261</v>
      </c>
      <c r="M128" s="4">
        <v>8198.4306916387377</v>
      </c>
      <c r="N128" s="4">
        <v>12.42464463608184</v>
      </c>
      <c r="O128" s="4">
        <v>8107.6564320770058</v>
      </c>
      <c r="P128" s="4">
        <v>12.3870172097061</v>
      </c>
      <c r="Q128" s="4">
        <v>8132.2846569606145</v>
      </c>
      <c r="R128" s="4">
        <v>12.366418045195919</v>
      </c>
      <c r="S128" s="4">
        <v>8145.8308810070703</v>
      </c>
      <c r="T128" s="4">
        <v>12.24318446965844</v>
      </c>
      <c r="U128" s="4">
        <v>8227.8226101750715</v>
      </c>
      <c r="V128" s="4">
        <v>6.0408702434902999</v>
      </c>
      <c r="W128" s="4">
        <v>0</v>
      </c>
    </row>
    <row r="129" spans="1:23" x14ac:dyDescent="0.3">
      <c r="A129" t="s">
        <v>169</v>
      </c>
      <c r="B129">
        <v>9591267.91846551</v>
      </c>
      <c r="C129" s="5">
        <v>1.9182535836931021</v>
      </c>
      <c r="D129">
        <v>3120185.8958777199</v>
      </c>
      <c r="E129" s="18">
        <v>7319.5935359170471</v>
      </c>
      <c r="F129" s="4">
        <v>46.212748851209597</v>
      </c>
      <c r="G129" s="4">
        <v>7350.8449171404009</v>
      </c>
      <c r="H129" s="4">
        <v>45.965408967761398</v>
      </c>
      <c r="I129" s="4">
        <v>7390.3998164849609</v>
      </c>
      <c r="J129" s="4">
        <v>45.614173706791398</v>
      </c>
      <c r="K129" s="4">
        <v>7447.3068871884952</v>
      </c>
      <c r="L129" s="4">
        <v>44.595583406425199</v>
      </c>
      <c r="M129" s="4">
        <v>7617.4079146827935</v>
      </c>
      <c r="N129" s="4">
        <v>46.212748851209597</v>
      </c>
      <c r="O129" s="4">
        <v>7350.8449171404009</v>
      </c>
      <c r="P129" s="4">
        <v>44.262858999820601</v>
      </c>
      <c r="Q129" s="4">
        <v>7674.6680552509451</v>
      </c>
      <c r="R129" s="4">
        <v>44.262858999820601</v>
      </c>
      <c r="S129" s="4">
        <v>7674.6680552509451</v>
      </c>
      <c r="T129" s="4">
        <v>44.262858999820601</v>
      </c>
      <c r="U129" s="4">
        <v>7674.6680552509451</v>
      </c>
      <c r="V129" s="4">
        <v>32.8651140417386</v>
      </c>
      <c r="W129" s="4">
        <v>0</v>
      </c>
    </row>
    <row r="130" spans="1:23" x14ac:dyDescent="0.3">
      <c r="A130" t="s">
        <v>172</v>
      </c>
      <c r="B130">
        <v>5080770.3489554999</v>
      </c>
      <c r="C130" s="20">
        <v>1.0161540697911</v>
      </c>
      <c r="D130">
        <v>1421124.5102802699</v>
      </c>
      <c r="E130" s="18">
        <v>6293.3963326800485</v>
      </c>
      <c r="F130" s="4">
        <v>4.5780925367790202</v>
      </c>
      <c r="G130" s="4">
        <v>6355.9955532364465</v>
      </c>
      <c r="H130" s="4">
        <v>4.8393817653479401</v>
      </c>
      <c r="I130" s="4">
        <v>6095.7683089255088</v>
      </c>
      <c r="J130" s="4">
        <v>4.7810948881440405</v>
      </c>
      <c r="K130" s="4">
        <v>6170.082520878691</v>
      </c>
      <c r="L130" s="4">
        <v>4.8317193668801002</v>
      </c>
      <c r="M130" s="4">
        <v>6105.4353036750026</v>
      </c>
      <c r="N130" s="4">
        <v>4.8393817653479401</v>
      </c>
      <c r="O130" s="4">
        <v>6095.7683089255088</v>
      </c>
      <c r="P130" s="4">
        <v>3.5121516086845399</v>
      </c>
      <c r="Q130" s="4">
        <v>6263.3748066226544</v>
      </c>
      <c r="R130" s="4">
        <v>4.8575570604031197</v>
      </c>
      <c r="S130" s="4">
        <v>6072.9600565004739</v>
      </c>
      <c r="T130" s="4">
        <v>4.5780925367790202</v>
      </c>
      <c r="U130" s="4">
        <v>6355.9955532364465</v>
      </c>
      <c r="V130" s="4">
        <v>4.5780925367790202</v>
      </c>
      <c r="W130" s="4">
        <v>0</v>
      </c>
    </row>
    <row r="131" spans="1:23" x14ac:dyDescent="0.3">
      <c r="A131" t="s">
        <v>214</v>
      </c>
      <c r="B131">
        <v>0</v>
      </c>
      <c r="C131" s="5">
        <v>0</v>
      </c>
      <c r="D131">
        <v>0</v>
      </c>
      <c r="E131" s="18" t="e">
        <v>#DIV/0!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 t="e">
        <v>#N/A</v>
      </c>
      <c r="S131" s="4" t="e">
        <v>#N/A</v>
      </c>
      <c r="T131" s="4" t="e">
        <v>#N/A</v>
      </c>
      <c r="U131" s="4" t="e">
        <v>#N/A</v>
      </c>
      <c r="V131" s="4" t="e">
        <v>#N/A</v>
      </c>
      <c r="W131" s="4" t="e">
        <v>#N/A</v>
      </c>
    </row>
    <row r="132" spans="1:23" x14ac:dyDescent="0.3">
      <c r="A132" t="s">
        <v>216</v>
      </c>
      <c r="B132">
        <v>0</v>
      </c>
      <c r="C132" s="5">
        <v>0</v>
      </c>
      <c r="D132">
        <v>0</v>
      </c>
      <c r="E132" s="18" t="e">
        <v>#DIV/0!</v>
      </c>
      <c r="F132" s="4">
        <v>17.370544806161902</v>
      </c>
      <c r="G132" s="4">
        <v>6870.5098965960242</v>
      </c>
      <c r="H132" s="4">
        <v>17.174546318664259</v>
      </c>
      <c r="I132" s="4">
        <v>6948.9171816028484</v>
      </c>
      <c r="J132" s="4">
        <v>17.383438652809762</v>
      </c>
      <c r="K132" s="4">
        <v>6865.4138219488495</v>
      </c>
      <c r="L132" s="4">
        <v>17.295016089449081</v>
      </c>
      <c r="M132" s="4">
        <v>6900.5139621007211</v>
      </c>
      <c r="N132" s="4">
        <v>17.174546318664259</v>
      </c>
      <c r="O132" s="4">
        <v>6948.9171816028484</v>
      </c>
      <c r="P132" s="4">
        <v>17.534725555608837</v>
      </c>
      <c r="Q132" s="4">
        <v>6806.1800922698358</v>
      </c>
      <c r="R132" s="4" t="e">
        <v>#N/A</v>
      </c>
      <c r="S132" s="4" t="e">
        <v>#N/A</v>
      </c>
      <c r="T132" s="4" t="e">
        <v>#N/A</v>
      </c>
      <c r="U132" s="4" t="e">
        <v>#N/A</v>
      </c>
      <c r="V132" s="4" t="e">
        <v>#N/A</v>
      </c>
      <c r="W132" s="4" t="e">
        <v>#N/A</v>
      </c>
    </row>
    <row r="133" spans="1:23" x14ac:dyDescent="0.3">
      <c r="A133" t="s">
        <v>174</v>
      </c>
      <c r="B133">
        <v>15817228.422395</v>
      </c>
      <c r="C133" s="5">
        <v>3.163445684479</v>
      </c>
      <c r="D133">
        <v>5803398.8061487796</v>
      </c>
      <c r="E133" s="18">
        <v>8255.3320753381413</v>
      </c>
      <c r="F133" s="4">
        <v>17.506273935233221</v>
      </c>
      <c r="G133" s="4">
        <v>7819.9964485004366</v>
      </c>
      <c r="H133" s="4">
        <v>17.74158526680878</v>
      </c>
      <c r="I133" s="4">
        <v>7716.2777700656025</v>
      </c>
      <c r="J133" s="4">
        <v>17.98372182710996</v>
      </c>
      <c r="K133" s="4">
        <v>7612.3842059005037</v>
      </c>
      <c r="L133" s="4">
        <v>17.313570235615821</v>
      </c>
      <c r="M133" s="4">
        <v>7907.0346633870158</v>
      </c>
      <c r="N133" s="4">
        <v>17.74158526680878</v>
      </c>
      <c r="O133" s="4">
        <v>7716.2777700656025</v>
      </c>
      <c r="P133" s="4">
        <v>20.376695493885201</v>
      </c>
      <c r="Q133" s="4">
        <v>6718.4102565149351</v>
      </c>
      <c r="R133" s="4">
        <v>17.506273935233221</v>
      </c>
      <c r="S133" s="4">
        <v>7819.9964485004366</v>
      </c>
      <c r="T133" s="4">
        <v>19.019647790377721</v>
      </c>
      <c r="U133" s="4">
        <v>7197.7673566205021</v>
      </c>
      <c r="V133" s="4">
        <v>15.845178197887641</v>
      </c>
      <c r="W133" s="4">
        <v>0</v>
      </c>
    </row>
    <row r="134" spans="1:23" x14ac:dyDescent="0.3">
      <c r="A134" t="s">
        <v>176</v>
      </c>
      <c r="B134">
        <v>19816453.210221998</v>
      </c>
      <c r="C134" s="5">
        <v>3.9632906420443996</v>
      </c>
      <c r="D134">
        <v>5821155.7034481699</v>
      </c>
      <c r="E134" s="18">
        <v>6609.4574007836054</v>
      </c>
      <c r="F134" s="4">
        <v>39.037415639389003</v>
      </c>
      <c r="G134" s="4">
        <v>6802.5507234668048</v>
      </c>
      <c r="H134" s="4">
        <v>41.513171846063202</v>
      </c>
      <c r="I134" s="4">
        <v>6396.8612416490923</v>
      </c>
      <c r="J134" s="4">
        <v>40.481558358231801</v>
      </c>
      <c r="K134" s="4">
        <v>6559.8759230078003</v>
      </c>
      <c r="L134" s="4">
        <v>36.534750153277997</v>
      </c>
      <c r="M134" s="4">
        <v>6520.8729682597177</v>
      </c>
      <c r="N134" s="4">
        <v>39.037415639389003</v>
      </c>
      <c r="O134" s="4">
        <v>6802.5507234668048</v>
      </c>
      <c r="P134" s="4">
        <v>39.560937845150605</v>
      </c>
      <c r="Q134" s="4">
        <v>6712.5304521200014</v>
      </c>
      <c r="R134" s="4">
        <v>18.141366725861978</v>
      </c>
      <c r="S134" s="4">
        <v>6655.1255571866004</v>
      </c>
      <c r="T134" s="4">
        <v>18.141366725861978</v>
      </c>
      <c r="U134" s="4">
        <v>6655.1255571866004</v>
      </c>
      <c r="V134" s="4">
        <v>18.141366725861978</v>
      </c>
      <c r="W134" s="4">
        <v>0</v>
      </c>
    </row>
    <row r="135" spans="1:23" x14ac:dyDescent="0.3">
      <c r="A135" t="s">
        <v>178</v>
      </c>
      <c r="B135">
        <v>10707011.153216699</v>
      </c>
      <c r="C135" s="5">
        <v>2.1414022306433398</v>
      </c>
      <c r="D135">
        <v>1883672.43813086</v>
      </c>
      <c r="E135" s="18">
        <v>3958.399711315456</v>
      </c>
      <c r="F135" s="4">
        <v>2.7513620013712998</v>
      </c>
      <c r="G135" s="4">
        <v>4043.8285808232949</v>
      </c>
      <c r="H135" s="4">
        <v>2.7200125267364799</v>
      </c>
      <c r="I135" s="4">
        <v>4008.0352203171924</v>
      </c>
      <c r="J135" s="4">
        <v>93.521541490168403</v>
      </c>
      <c r="K135" s="4">
        <v>3994.6224586051489</v>
      </c>
      <c r="L135" s="4">
        <v>3.0219874599523</v>
      </c>
      <c r="M135" s="4">
        <v>3992.2471892193789</v>
      </c>
      <c r="N135" s="4">
        <v>93.521541490168403</v>
      </c>
      <c r="O135" s="4">
        <v>3994.6224586051489</v>
      </c>
      <c r="P135" s="4">
        <v>91.462411852198002</v>
      </c>
      <c r="Q135" s="4">
        <v>4084.5549820368328</v>
      </c>
      <c r="R135" s="4">
        <v>63.986180202070798</v>
      </c>
      <c r="S135" s="4">
        <v>4026.7041815775297</v>
      </c>
      <c r="T135" s="4">
        <v>94.012160089271404</v>
      </c>
      <c r="U135" s="4">
        <v>3973.7758354371972</v>
      </c>
      <c r="V135" s="4">
        <v>93.889419101803398</v>
      </c>
      <c r="W135" s="4">
        <v>0</v>
      </c>
    </row>
    <row r="136" spans="1:23" x14ac:dyDescent="0.3">
      <c r="A136" t="s">
        <v>179</v>
      </c>
      <c r="B136">
        <v>22264855.688092899</v>
      </c>
      <c r="C136" s="20">
        <v>4.4529711376185794</v>
      </c>
      <c r="D136">
        <v>6376725.8652820801</v>
      </c>
      <c r="E136" s="18">
        <v>6444.0719481320066</v>
      </c>
      <c r="F136" s="4">
        <v>13.0790811401657</v>
      </c>
      <c r="G136" s="4">
        <v>6632.1960190577147</v>
      </c>
      <c r="H136" s="4">
        <v>2.8876061163709599</v>
      </c>
      <c r="I136" s="4">
        <v>6339.9872289399191</v>
      </c>
      <c r="J136" s="4">
        <v>16.467292199998781</v>
      </c>
      <c r="K136" s="4">
        <v>6314.4261204041604</v>
      </c>
      <c r="L136" s="4">
        <v>5.02854921343868</v>
      </c>
      <c r="M136" s="4">
        <v>6368.3375412487321</v>
      </c>
      <c r="N136" s="4">
        <v>16.467292199998781</v>
      </c>
      <c r="O136" s="4">
        <v>6314.4261204041604</v>
      </c>
      <c r="P136" s="4">
        <v>10.1094314951256</v>
      </c>
      <c r="Q136" s="4">
        <v>6281.5281991104621</v>
      </c>
      <c r="R136" s="4">
        <v>16.77030340792</v>
      </c>
      <c r="S136" s="4">
        <v>6200.3350488514916</v>
      </c>
      <c r="T136" s="4">
        <v>13.0790811401657</v>
      </c>
      <c r="U136" s="4">
        <v>6632.1960190577147</v>
      </c>
      <c r="V136" s="4">
        <v>10.1094314951256</v>
      </c>
      <c r="W136" s="4">
        <v>0</v>
      </c>
    </row>
    <row r="137" spans="1:23" x14ac:dyDescent="0.3">
      <c r="A137" t="s">
        <v>180</v>
      </c>
      <c r="B137">
        <v>16706654.25842</v>
      </c>
      <c r="C137" s="5">
        <v>3.3413308516839999</v>
      </c>
      <c r="D137">
        <v>5973604.8644860601</v>
      </c>
      <c r="E137" s="18">
        <v>8045.0644019999945</v>
      </c>
      <c r="F137" s="4">
        <v>15.88572625751962</v>
      </c>
      <c r="G137" s="4">
        <v>7966.9162081961349</v>
      </c>
      <c r="H137" s="4">
        <v>12.167208788966461</v>
      </c>
      <c r="I137" s="4">
        <v>7984.6352790350238</v>
      </c>
      <c r="J137" s="4">
        <v>15.884021693826138</v>
      </c>
      <c r="K137" s="4">
        <v>7967.7711627145354</v>
      </c>
      <c r="L137" s="4">
        <v>9.7903134989014191</v>
      </c>
      <c r="M137" s="4">
        <v>8019.7973596997535</v>
      </c>
      <c r="N137" s="4">
        <v>15.88572625751962</v>
      </c>
      <c r="O137" s="4">
        <v>7966.9162081961349</v>
      </c>
      <c r="P137" s="4">
        <v>10.43991813903806</v>
      </c>
      <c r="Q137" s="4">
        <v>8031.9988354291445</v>
      </c>
      <c r="R137" s="4">
        <v>12.167208788966461</v>
      </c>
      <c r="S137" s="4">
        <v>7984.6352790350238</v>
      </c>
      <c r="T137" s="4">
        <v>12.167208788966461</v>
      </c>
      <c r="U137" s="4">
        <v>7984.6352790350238</v>
      </c>
      <c r="V137" s="4">
        <v>12.167208788966461</v>
      </c>
      <c r="W137" s="4">
        <v>0</v>
      </c>
    </row>
    <row r="138" spans="1:23" x14ac:dyDescent="0.3">
      <c r="A138" t="s">
        <v>217</v>
      </c>
      <c r="B138">
        <v>1236524.8547256</v>
      </c>
      <c r="C138" s="5">
        <v>0.24730497094512</v>
      </c>
      <c r="D138">
        <v>402822.97370043001</v>
      </c>
      <c r="E138" s="18">
        <v>7329.8299452872552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 t="e">
        <v>#N/A</v>
      </c>
      <c r="S138" s="4" t="e">
        <v>#N/A</v>
      </c>
      <c r="T138" s="4" t="e">
        <v>#N/A</v>
      </c>
      <c r="U138" s="4" t="e">
        <v>#N/A</v>
      </c>
      <c r="V138" s="4" t="e">
        <v>#N/A</v>
      </c>
      <c r="W138" s="4" t="e">
        <v>#N/A</v>
      </c>
    </row>
    <row r="139" spans="1:23" x14ac:dyDescent="0.3">
      <c r="A139" t="s">
        <v>181</v>
      </c>
      <c r="B139">
        <v>35490430.375235803</v>
      </c>
      <c r="C139" s="5">
        <v>7.0980860750471608</v>
      </c>
      <c r="D139">
        <v>7856395.9848485095</v>
      </c>
      <c r="E139" s="18">
        <v>4980.7485508103528</v>
      </c>
      <c r="F139" s="4">
        <v>5.6197029210551595</v>
      </c>
      <c r="G139" s="4">
        <v>5004.9543726509655</v>
      </c>
      <c r="H139" s="4">
        <v>10.43608276900852</v>
      </c>
      <c r="I139" s="4">
        <v>4983.9656347581504</v>
      </c>
      <c r="J139" s="4">
        <v>26.174770220972</v>
      </c>
      <c r="K139" s="4">
        <v>4940.1579806952805</v>
      </c>
      <c r="L139" s="4">
        <v>7.24400326221686</v>
      </c>
      <c r="M139" s="4">
        <v>4969.9876032246248</v>
      </c>
      <c r="N139" s="4">
        <v>26.174770220972</v>
      </c>
      <c r="O139" s="4">
        <v>4940.1579806952805</v>
      </c>
      <c r="P139" s="4">
        <v>26.256182802843</v>
      </c>
      <c r="Q139" s="4">
        <v>4924.8400260984881</v>
      </c>
      <c r="R139" s="4">
        <v>20.064646698018198</v>
      </c>
      <c r="S139" s="4">
        <v>4869.2766729791374</v>
      </c>
      <c r="T139" s="4">
        <v>7.1985333272027194</v>
      </c>
      <c r="U139" s="4">
        <v>4960.7082285198885</v>
      </c>
      <c r="V139" s="4">
        <v>26.256182802843</v>
      </c>
      <c r="W139" s="4">
        <v>0</v>
      </c>
    </row>
    <row r="140" spans="1:23" x14ac:dyDescent="0.3">
      <c r="A140" t="s">
        <v>182</v>
      </c>
      <c r="B140">
        <v>26888088.1550567</v>
      </c>
      <c r="C140" s="5">
        <v>5.3776176310113399</v>
      </c>
      <c r="D140">
        <v>5585999.4520023698</v>
      </c>
      <c r="E140" s="18">
        <v>4674.3742785005861</v>
      </c>
      <c r="F140" s="4">
        <v>468.89445237967999</v>
      </c>
      <c r="G140" s="4">
        <v>3581.33742261318</v>
      </c>
      <c r="H140" s="4">
        <v>124.4875354390132</v>
      </c>
      <c r="I140" s="4">
        <v>4160.0389934875257</v>
      </c>
      <c r="J140" s="4">
        <v>726.73115446668191</v>
      </c>
      <c r="K140" s="4">
        <v>3588.8608654929681</v>
      </c>
      <c r="L140" s="4">
        <v>676.46707810732403</v>
      </c>
      <c r="M140" s="4">
        <v>3855.5268754501149</v>
      </c>
      <c r="N140" s="4">
        <v>726.73115446668191</v>
      </c>
      <c r="O140" s="4">
        <v>3588.8608654929681</v>
      </c>
      <c r="P140" s="4">
        <v>695.29777261234199</v>
      </c>
      <c r="Q140" s="4">
        <v>3751.107946456988</v>
      </c>
      <c r="R140" s="4">
        <v>468.89445237967999</v>
      </c>
      <c r="S140" s="4">
        <v>3581.33742261318</v>
      </c>
      <c r="T140" s="4">
        <v>695.29777261234199</v>
      </c>
      <c r="U140" s="4">
        <v>3751.107946456988</v>
      </c>
      <c r="V140" s="4">
        <v>695.29777261234199</v>
      </c>
      <c r="W140" s="4">
        <v>0</v>
      </c>
    </row>
    <row r="141" spans="1:23" x14ac:dyDescent="0.3">
      <c r="A141" t="s">
        <v>184</v>
      </c>
      <c r="B141">
        <v>211782.66299305999</v>
      </c>
      <c r="C141" s="5">
        <v>4.2356532598611996E-2</v>
      </c>
      <c r="D141">
        <v>65416.796614692903</v>
      </c>
      <c r="E141" s="18">
        <v>6949.9453025520943</v>
      </c>
      <c r="F141" s="4">
        <v>0.39637787516867001</v>
      </c>
      <c r="G141" s="4">
        <v>6743.5650863776455</v>
      </c>
      <c r="H141" s="4">
        <v>0.39299826544869798</v>
      </c>
      <c r="I141" s="4">
        <v>6801.5567370205827</v>
      </c>
      <c r="J141" s="4">
        <v>0.39118115706737</v>
      </c>
      <c r="K141" s="4">
        <v>6833.1512183232553</v>
      </c>
      <c r="L141" s="4">
        <v>0.39259570524312004</v>
      </c>
      <c r="M141" s="4">
        <v>6808.5309245670678</v>
      </c>
      <c r="N141" s="4">
        <v>0.397688117005282</v>
      </c>
      <c r="O141" s="4">
        <v>6721.3474220163789</v>
      </c>
      <c r="P141" s="4">
        <v>9.6827154239014196E-2</v>
      </c>
      <c r="Q141" s="4">
        <v>6682.4658316555524</v>
      </c>
      <c r="R141" s="4">
        <v>0.39243896915390197</v>
      </c>
      <c r="S141" s="4">
        <v>6811.2501818129467</v>
      </c>
      <c r="T141" s="4">
        <v>0.39243896915390197</v>
      </c>
      <c r="U141" s="4">
        <v>6811.2501818129467</v>
      </c>
      <c r="V141" s="4">
        <v>0.38591332150871799</v>
      </c>
      <c r="W141" s="4">
        <v>0</v>
      </c>
    </row>
    <row r="142" spans="1:23" x14ac:dyDescent="0.3">
      <c r="A142" t="s">
        <v>187</v>
      </c>
      <c r="B142">
        <v>41503.246228420001</v>
      </c>
      <c r="C142" s="20">
        <v>8.3006492456839994E-3</v>
      </c>
      <c r="D142">
        <v>10221.758296133101</v>
      </c>
      <c r="E142" s="18">
        <v>5541.4836805104133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3">
      <c r="A143" t="s">
        <v>221</v>
      </c>
      <c r="B143">
        <v>0</v>
      </c>
      <c r="C143" s="5">
        <v>0</v>
      </c>
      <c r="D143">
        <v>0</v>
      </c>
      <c r="E143" s="18" t="e">
        <v>#DIV/0!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 t="e">
        <v>#N/A</v>
      </c>
      <c r="O143" s="4" t="e">
        <v>#N/A</v>
      </c>
      <c r="P143" s="4" t="e">
        <v>#N/A</v>
      </c>
      <c r="Q143" s="4" t="e">
        <v>#N/A</v>
      </c>
      <c r="R143" s="4" t="e">
        <v>#N/A</v>
      </c>
      <c r="S143" s="4" t="e">
        <v>#N/A</v>
      </c>
      <c r="T143" s="4" t="e">
        <v>#N/A</v>
      </c>
      <c r="U143" s="4" t="e">
        <v>#N/A</v>
      </c>
      <c r="V143" s="4" t="e">
        <v>#N/A</v>
      </c>
      <c r="W143" s="4" t="e">
        <v>#N/A</v>
      </c>
    </row>
    <row r="144" spans="1:23" x14ac:dyDescent="0.3">
      <c r="A144" t="s">
        <v>185</v>
      </c>
      <c r="B144">
        <v>24721631.391296402</v>
      </c>
      <c r="C144" s="5">
        <v>4.9443262782592807</v>
      </c>
      <c r="D144">
        <v>8880369.1307322402</v>
      </c>
      <c r="E144" s="18">
        <v>8082.326860994327</v>
      </c>
      <c r="F144" s="4">
        <v>121.1663416614326</v>
      </c>
      <c r="G144" s="4">
        <v>8198.4401474769656</v>
      </c>
      <c r="H144" s="4">
        <v>119.63979229999362</v>
      </c>
      <c r="I144" s="4">
        <v>8303.0485167438146</v>
      </c>
      <c r="J144" s="4">
        <v>120.32842879590139</v>
      </c>
      <c r="K144" s="4">
        <v>8255.5303841367549</v>
      </c>
      <c r="L144" s="4">
        <v>119.5300853350616</v>
      </c>
      <c r="M144" s="4">
        <v>8310.6692111480497</v>
      </c>
      <c r="N144" s="4">
        <v>121.1663416614326</v>
      </c>
      <c r="O144" s="4">
        <v>8198.4401474769656</v>
      </c>
      <c r="P144" s="4">
        <v>120.01155429987959</v>
      </c>
      <c r="Q144" s="4">
        <v>8277.3280105830345</v>
      </c>
      <c r="R144" s="4">
        <v>119.63979229999362</v>
      </c>
      <c r="S144" s="4">
        <v>8303.0485167438146</v>
      </c>
      <c r="T144" s="4">
        <v>119.78164645931859</v>
      </c>
      <c r="U144" s="4">
        <v>8293.2154412936688</v>
      </c>
      <c r="V144" s="4">
        <v>7.2177768446111203</v>
      </c>
      <c r="W144" s="4">
        <v>0</v>
      </c>
    </row>
    <row r="145" spans="1:23" x14ac:dyDescent="0.3">
      <c r="A145" t="s">
        <v>186</v>
      </c>
      <c r="B145">
        <v>2618865.84044739</v>
      </c>
      <c r="C145" s="5">
        <v>0.52377316808947805</v>
      </c>
      <c r="D145">
        <v>940375.68133705202</v>
      </c>
      <c r="E145" s="18">
        <v>8079.2427406167153</v>
      </c>
      <c r="F145" s="4">
        <v>2.2332614846440597</v>
      </c>
      <c r="G145" s="4">
        <v>7967.2712408936186</v>
      </c>
      <c r="H145" s="4">
        <v>2.2402998070139399</v>
      </c>
      <c r="I145" s="4">
        <v>7942.2405627557528</v>
      </c>
      <c r="J145" s="4">
        <v>2.25161661703424</v>
      </c>
      <c r="K145" s="4">
        <v>7902.3222094693665</v>
      </c>
      <c r="L145" s="4">
        <v>2.2466007539428401</v>
      </c>
      <c r="M145" s="4">
        <v>7919.9652936877383</v>
      </c>
      <c r="N145" s="4">
        <v>2.23154330601534</v>
      </c>
      <c r="O145" s="4">
        <v>7973.4056480271793</v>
      </c>
      <c r="P145" s="4">
        <v>0.465314098776346</v>
      </c>
      <c r="Q145" s="4">
        <v>8065.6611131970731</v>
      </c>
      <c r="R145" s="4">
        <v>2.2463726335214398</v>
      </c>
      <c r="S145" s="4">
        <v>7920.7695706778113</v>
      </c>
      <c r="T145" s="4">
        <v>2.2463726335214398</v>
      </c>
      <c r="U145" s="4">
        <v>7920.7695706778113</v>
      </c>
      <c r="V145" s="4">
        <v>2.2513021593558</v>
      </c>
      <c r="W145" s="4">
        <v>0</v>
      </c>
    </row>
    <row r="146" spans="1:23" x14ac:dyDescent="0.3">
      <c r="A146" t="s">
        <v>188</v>
      </c>
      <c r="B146">
        <v>151793.00064712999</v>
      </c>
      <c r="C146" s="5">
        <v>3.0358600129425997E-2</v>
      </c>
      <c r="D146">
        <v>36357.691741626702</v>
      </c>
      <c r="E146" s="18">
        <v>5389.2344225297975</v>
      </c>
      <c r="F146" s="4">
        <v>0.77588103296445798</v>
      </c>
      <c r="G146" s="4">
        <v>5206.1985046031368</v>
      </c>
      <c r="H146" s="4">
        <v>1.244637405144138</v>
      </c>
      <c r="I146" s="4">
        <v>5262.9399768626636</v>
      </c>
      <c r="J146" s="4">
        <v>16.945090368953959</v>
      </c>
      <c r="K146" s="4">
        <v>5204.1180117615222</v>
      </c>
      <c r="L146" s="4">
        <v>2.3727965972036</v>
      </c>
      <c r="M146" s="4">
        <v>5230.0171945206848</v>
      </c>
      <c r="N146" s="4">
        <v>16.945090368953959</v>
      </c>
      <c r="O146" s="4">
        <v>5204.1180117615222</v>
      </c>
      <c r="P146" s="4">
        <v>5.3968776244941195</v>
      </c>
      <c r="Q146" s="4">
        <v>5260.8969822260715</v>
      </c>
      <c r="R146" s="4">
        <v>0.77588103296445798</v>
      </c>
      <c r="S146" s="4">
        <v>5206.1985046031368</v>
      </c>
      <c r="T146" s="4">
        <v>1.46593105952489</v>
      </c>
      <c r="U146" s="4">
        <v>5224.1386356589765</v>
      </c>
      <c r="V146" s="4">
        <v>14.379629060446561</v>
      </c>
      <c r="W146" s="4">
        <v>0</v>
      </c>
    </row>
    <row r="147" spans="1:23" x14ac:dyDescent="0.3">
      <c r="A147" t="s">
        <v>218</v>
      </c>
      <c r="B147">
        <v>0</v>
      </c>
      <c r="C147" s="5">
        <v>0</v>
      </c>
      <c r="D147">
        <v>0</v>
      </c>
      <c r="E147" s="18" t="e">
        <v>#DIV/0!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 t="e">
        <v>#N/A</v>
      </c>
      <c r="S147" s="4" t="e">
        <v>#N/A</v>
      </c>
      <c r="T147" s="4" t="e">
        <v>#N/A</v>
      </c>
      <c r="U147" s="4" t="e">
        <v>#N/A</v>
      </c>
      <c r="V147" s="4" t="e">
        <v>#N/A</v>
      </c>
      <c r="W147" s="4" t="e">
        <v>#N/A</v>
      </c>
    </row>
    <row r="148" spans="1:23" x14ac:dyDescent="0.3">
      <c r="A148" t="s">
        <v>219</v>
      </c>
      <c r="B148">
        <v>0</v>
      </c>
      <c r="C148" s="20">
        <v>0</v>
      </c>
      <c r="D148">
        <v>0</v>
      </c>
      <c r="E148" s="18" t="e">
        <v>#DIV/0!</v>
      </c>
      <c r="F148" s="4">
        <v>0.46546935608062606</v>
      </c>
      <c r="G148" s="4">
        <v>6226.723927189857</v>
      </c>
      <c r="H148" s="4">
        <v>0.1112893616232298</v>
      </c>
      <c r="I148" s="4">
        <v>6191.0220290286597</v>
      </c>
      <c r="J148" s="4">
        <v>0.74337033577007205</v>
      </c>
      <c r="K148" s="4">
        <v>6260.9536563018555</v>
      </c>
      <c r="L148" s="4">
        <v>2.2724694068603401E-2</v>
      </c>
      <c r="M148" s="4">
        <v>6282.214564949345</v>
      </c>
      <c r="N148" s="4">
        <v>0.46546935608062606</v>
      </c>
      <c r="O148" s="4">
        <v>6226.723927189857</v>
      </c>
      <c r="P148" s="4">
        <v>0.104629549978752</v>
      </c>
      <c r="Q148" s="4">
        <v>6306.3122995319918</v>
      </c>
      <c r="R148" s="4" t="e">
        <v>#N/A</v>
      </c>
      <c r="S148" s="4" t="e">
        <v>#N/A</v>
      </c>
      <c r="T148" s="4" t="e">
        <v>#N/A</v>
      </c>
      <c r="U148" s="4" t="e">
        <v>#N/A</v>
      </c>
      <c r="V148" s="4" t="e">
        <v>#N/A</v>
      </c>
      <c r="W148" s="4" t="e">
        <v>#N/A</v>
      </c>
    </row>
    <row r="149" spans="1:23" x14ac:dyDescent="0.3">
      <c r="A149" t="s">
        <v>189</v>
      </c>
      <c r="B149">
        <v>11060296.4192068</v>
      </c>
      <c r="C149" s="5">
        <v>2.2120592838413602</v>
      </c>
      <c r="D149">
        <v>2203410.1400361098</v>
      </c>
      <c r="E149" s="18">
        <v>4482.4050162633812</v>
      </c>
      <c r="F149" s="4">
        <v>1.931561043882446</v>
      </c>
      <c r="G149" s="4">
        <v>4498.1646112823901</v>
      </c>
      <c r="H149" s="4">
        <v>2.2700026662692201</v>
      </c>
      <c r="I149" s="4">
        <v>4486.9757440988806</v>
      </c>
      <c r="J149" s="4">
        <v>14.670436793365219</v>
      </c>
      <c r="K149" s="4">
        <v>4533.7607146148848</v>
      </c>
      <c r="L149" s="4">
        <v>2.2465701505660998</v>
      </c>
      <c r="M149" s="4">
        <v>4447.0212393028078</v>
      </c>
      <c r="N149" s="4">
        <v>14.670436793365219</v>
      </c>
      <c r="O149" s="4">
        <v>4533.7607146148848</v>
      </c>
      <c r="P149" s="4">
        <v>12.319202668066099</v>
      </c>
      <c r="Q149" s="4">
        <v>4275.8236555348694</v>
      </c>
      <c r="R149" s="4">
        <v>5.4986135956018005</v>
      </c>
      <c r="S149" s="4">
        <v>4451.6180530159636</v>
      </c>
      <c r="T149" s="4">
        <v>5.9305049939524004</v>
      </c>
      <c r="U149" s="4">
        <v>4386.2422690192798</v>
      </c>
      <c r="V149" s="4">
        <v>12.319202668066099</v>
      </c>
      <c r="W149" s="4">
        <v>0</v>
      </c>
    </row>
    <row r="150" spans="1:23" x14ac:dyDescent="0.3">
      <c r="A150" t="s">
        <v>191</v>
      </c>
      <c r="B150">
        <v>688890.86616620002</v>
      </c>
      <c r="C150" s="5">
        <v>0.13777817323324001</v>
      </c>
      <c r="D150">
        <v>147642.60665886299</v>
      </c>
      <c r="E150" s="18">
        <v>4822.1841992356603</v>
      </c>
      <c r="F150" s="4">
        <v>0.22012070977882198</v>
      </c>
      <c r="G150" s="4">
        <v>4884.9141577174214</v>
      </c>
      <c r="H150" s="4">
        <v>0.21163779654739201</v>
      </c>
      <c r="I150" s="4">
        <v>4775.6234011977003</v>
      </c>
      <c r="J150" s="4">
        <v>7.3642283442428393</v>
      </c>
      <c r="K150" s="4">
        <v>4759.2562807208169</v>
      </c>
      <c r="L150" s="4">
        <v>0.22948453402294</v>
      </c>
      <c r="M150" s="4">
        <v>4785.8753380816424</v>
      </c>
      <c r="N150" s="4">
        <v>7.3642283442428393</v>
      </c>
      <c r="O150" s="4">
        <v>4759.2562807208169</v>
      </c>
      <c r="P150" s="4">
        <v>0.69720576420409996</v>
      </c>
      <c r="Q150" s="4">
        <v>4836.9540823072148</v>
      </c>
      <c r="R150" s="4">
        <v>2.0078203244989203</v>
      </c>
      <c r="S150" s="4">
        <v>4777.995752655419</v>
      </c>
      <c r="T150" s="4">
        <v>2.0078203244989203</v>
      </c>
      <c r="U150" s="4">
        <v>4777.995752655419</v>
      </c>
      <c r="V150" s="4">
        <v>2.0078203244989203</v>
      </c>
      <c r="W150" s="4">
        <v>0</v>
      </c>
    </row>
    <row r="151" spans="1:23" x14ac:dyDescent="0.3">
      <c r="A151" t="s">
        <v>227</v>
      </c>
      <c r="B151">
        <v>0</v>
      </c>
      <c r="C151" s="5">
        <v>0</v>
      </c>
      <c r="D151">
        <v>0</v>
      </c>
      <c r="E151" s="18" t="e">
        <v>#DIV/0!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 t="e">
        <v>#N/A</v>
      </c>
      <c r="O151" s="4" t="e">
        <v>#N/A</v>
      </c>
      <c r="P151" s="4" t="e">
        <v>#N/A</v>
      </c>
      <c r="Q151" s="4" t="e">
        <v>#N/A</v>
      </c>
      <c r="R151" s="4" t="e">
        <v>#N/A</v>
      </c>
      <c r="S151" s="4" t="e">
        <v>#N/A</v>
      </c>
      <c r="T151" s="4" t="e">
        <v>#N/A</v>
      </c>
      <c r="U151" s="4" t="e">
        <v>#N/A</v>
      </c>
      <c r="V151" s="4" t="e">
        <v>#N/A</v>
      </c>
      <c r="W151" s="4" t="e">
        <v>#N/A</v>
      </c>
    </row>
    <row r="152" spans="1:23" x14ac:dyDescent="0.3">
      <c r="A152" t="s">
        <v>192</v>
      </c>
      <c r="B152">
        <v>227584.82017121001</v>
      </c>
      <c r="C152" s="5">
        <v>4.5516964034242005E-2</v>
      </c>
      <c r="D152">
        <v>81002.660887407896</v>
      </c>
      <c r="E152" s="18">
        <v>8008.266406325266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 x14ac:dyDescent="0.3">
      <c r="A153" t="s">
        <v>193</v>
      </c>
      <c r="B153">
        <v>91989003.728430405</v>
      </c>
      <c r="C153" s="5">
        <v>18.39780074568608</v>
      </c>
      <c r="D153">
        <v>32343016.968540799</v>
      </c>
      <c r="E153" s="18">
        <v>7910.9225265721325</v>
      </c>
      <c r="F153" s="4">
        <v>68.300331302564203</v>
      </c>
      <c r="G153" s="4">
        <v>7405.5607103769726</v>
      </c>
      <c r="H153" s="4">
        <v>64.702508585502002</v>
      </c>
      <c r="I153" s="4">
        <v>7817.3514606717408</v>
      </c>
      <c r="J153" s="4">
        <v>67.447401637919398</v>
      </c>
      <c r="K153" s="4">
        <v>7499.210313768921</v>
      </c>
      <c r="L153" s="4">
        <v>66.891563332647209</v>
      </c>
      <c r="M153" s="4">
        <v>7561.5253224787066</v>
      </c>
      <c r="N153" s="4">
        <v>29.185884332669197</v>
      </c>
      <c r="O153" s="4">
        <v>7843.9885840867901</v>
      </c>
      <c r="P153" s="4">
        <v>29.185884332669197</v>
      </c>
      <c r="Q153" s="4">
        <v>7843.9885840867901</v>
      </c>
      <c r="R153" s="4">
        <v>69.939049171631211</v>
      </c>
      <c r="S153" s="4">
        <v>7232.0435577949547</v>
      </c>
      <c r="T153" s="4">
        <v>65.5560024918518</v>
      </c>
      <c r="U153" s="4">
        <v>7715.5749401112134</v>
      </c>
      <c r="V153" s="4">
        <v>62.897369310912204</v>
      </c>
      <c r="W153" s="4">
        <v>0</v>
      </c>
    </row>
    <row r="154" spans="1:23" x14ac:dyDescent="0.3">
      <c r="A154" t="s">
        <v>220</v>
      </c>
      <c r="B154">
        <v>0</v>
      </c>
      <c r="C154" s="20">
        <v>0</v>
      </c>
      <c r="D154">
        <v>0</v>
      </c>
      <c r="E154" s="18" t="e">
        <v>#DIV/0!</v>
      </c>
      <c r="F154" s="4">
        <v>0.1697196673433988</v>
      </c>
      <c r="G154" s="4">
        <v>7596.3500293187744</v>
      </c>
      <c r="H154" s="4">
        <v>0.16976487912043201</v>
      </c>
      <c r="I154" s="4">
        <v>7594.3269696283623</v>
      </c>
      <c r="J154" s="4">
        <v>0.17010655718151779</v>
      </c>
      <c r="K154" s="4">
        <v>7579.0729138340239</v>
      </c>
      <c r="L154" s="4">
        <v>0.16937763385029062</v>
      </c>
      <c r="M154" s="4">
        <v>7611.6897532028443</v>
      </c>
      <c r="N154" s="4">
        <v>0.17027861513141102</v>
      </c>
      <c r="O154" s="4">
        <v>7571.4146430250958</v>
      </c>
      <c r="P154" s="4">
        <v>1.682810085667482E-2</v>
      </c>
      <c r="Q154" s="4">
        <v>7400.4535921782453</v>
      </c>
      <c r="R154" s="4" t="e">
        <v>#N/A</v>
      </c>
      <c r="S154" s="4" t="e">
        <v>#N/A</v>
      </c>
      <c r="T154" s="4" t="e">
        <v>#N/A</v>
      </c>
      <c r="U154" s="4" t="e">
        <v>#N/A</v>
      </c>
      <c r="V154" s="4" t="e">
        <v>#N/A</v>
      </c>
      <c r="W154" s="4" t="e">
        <v>#N/A</v>
      </c>
    </row>
    <row r="155" spans="1:23" x14ac:dyDescent="0.3">
      <c r="A155" t="s">
        <v>194</v>
      </c>
      <c r="B155">
        <v>239702671.80694601</v>
      </c>
      <c r="C155" s="5">
        <v>47.940534361389204</v>
      </c>
      <c r="D155">
        <v>68630130.527564496</v>
      </c>
      <c r="E155" s="18">
        <v>6442.0555900764657</v>
      </c>
      <c r="F155" s="4">
        <v>95.64578505499621</v>
      </c>
      <c r="G155" s="4">
        <v>6581.440046083012</v>
      </c>
      <c r="H155" s="4">
        <v>98.3518141985558</v>
      </c>
      <c r="I155" s="4">
        <v>6400.3598218246534</v>
      </c>
      <c r="J155" s="4">
        <v>101.18845617223241</v>
      </c>
      <c r="K155" s="4">
        <v>6220.9368915417899</v>
      </c>
      <c r="L155" s="4">
        <v>54.333838591734597</v>
      </c>
      <c r="M155" s="4">
        <v>6412.3779130381281</v>
      </c>
      <c r="N155" s="4">
        <v>101.18845617223241</v>
      </c>
      <c r="O155" s="4">
        <v>6220.9368915417899</v>
      </c>
      <c r="P155" s="4">
        <v>57.305363611497</v>
      </c>
      <c r="Q155" s="4">
        <v>6420.0122164144395</v>
      </c>
      <c r="R155" s="4">
        <v>99.824875889724396</v>
      </c>
      <c r="S155" s="4">
        <v>6305.9131743413182</v>
      </c>
      <c r="T155" s="4">
        <v>95.64578505499621</v>
      </c>
      <c r="U155" s="4">
        <v>6581.440046083012</v>
      </c>
      <c r="V155" s="4">
        <v>57.305363611497</v>
      </c>
      <c r="W155" s="4">
        <v>0</v>
      </c>
    </row>
    <row r="156" spans="1:23" x14ac:dyDescent="0.3">
      <c r="A156" t="s">
        <v>195</v>
      </c>
      <c r="B156">
        <v>872698.32453400001</v>
      </c>
      <c r="C156" s="5">
        <v>0.17453966490680001</v>
      </c>
      <c r="D156">
        <v>274006.77962677</v>
      </c>
      <c r="E156" s="18">
        <v>7064.47161439707</v>
      </c>
      <c r="F156" s="4">
        <v>5.0364422017441397</v>
      </c>
      <c r="G156" s="4">
        <v>6988.8620955106844</v>
      </c>
      <c r="H156" s="4">
        <v>5.2038111792300406</v>
      </c>
      <c r="I156" s="4">
        <v>6764.0809375424078</v>
      </c>
      <c r="J156" s="4">
        <v>5.0818947812902007</v>
      </c>
      <c r="K156" s="4">
        <v>6926.3535580450598</v>
      </c>
      <c r="L156" s="4">
        <v>5.1478209051058803</v>
      </c>
      <c r="M156" s="4">
        <v>6837.6504639249943</v>
      </c>
      <c r="N156" s="4">
        <v>5.0364422017441397</v>
      </c>
      <c r="O156" s="4">
        <v>6988.8620955106844</v>
      </c>
      <c r="P156" s="4">
        <v>5.1608506136058603</v>
      </c>
      <c r="Q156" s="4">
        <v>6820.3873034423277</v>
      </c>
      <c r="R156" s="4">
        <v>5.1608506136058603</v>
      </c>
      <c r="S156" s="4">
        <v>6820.3873034423277</v>
      </c>
      <c r="T156" s="4">
        <v>5.1608506136058603</v>
      </c>
      <c r="U156" s="4">
        <v>6820.3873034423277</v>
      </c>
      <c r="V156" s="4">
        <v>0.21503684160021599</v>
      </c>
      <c r="W156" s="4">
        <v>0</v>
      </c>
    </row>
    <row r="157" spans="1:23" x14ac:dyDescent="0.3">
      <c r="A157" t="s">
        <v>197</v>
      </c>
      <c r="B157">
        <v>22010.893975899999</v>
      </c>
      <c r="C157" s="5">
        <v>4.4021787951799996E-3</v>
      </c>
      <c r="D157">
        <v>8446.8071875224796</v>
      </c>
      <c r="E157" s="18">
        <v>8634.504437999989</v>
      </c>
      <c r="F157" s="4">
        <v>3.7965887846261204</v>
      </c>
      <c r="G157" s="4">
        <v>8526.2723556161473</v>
      </c>
      <c r="H157" s="4">
        <v>3.8027341235876597</v>
      </c>
      <c r="I157" s="4">
        <v>8512.4936290471105</v>
      </c>
      <c r="J157" s="4">
        <v>3.7922611132928199</v>
      </c>
      <c r="K157" s="4">
        <v>8536.0024093627035</v>
      </c>
      <c r="L157" s="4">
        <v>3.7362477697910399</v>
      </c>
      <c r="M157" s="4">
        <v>8663.9730538562289</v>
      </c>
      <c r="N157" s="4">
        <v>3.73279750615196</v>
      </c>
      <c r="O157" s="4">
        <v>8671.9812544479882</v>
      </c>
      <c r="P157" s="4">
        <v>3.8022796882909997</v>
      </c>
      <c r="Q157" s="4">
        <v>8513.5110127970602</v>
      </c>
      <c r="R157" s="4">
        <v>3.84797043807384</v>
      </c>
      <c r="S157" s="4">
        <v>8412.421696306903</v>
      </c>
      <c r="T157" s="4">
        <v>3.84797043807384</v>
      </c>
      <c r="U157" s="4">
        <v>8412.421696306903</v>
      </c>
      <c r="V157" s="4">
        <v>3.7663068463656204</v>
      </c>
      <c r="W157" s="4">
        <v>0</v>
      </c>
    </row>
    <row r="158" spans="1:23" x14ac:dyDescent="0.3">
      <c r="A158" t="s">
        <v>198</v>
      </c>
      <c r="B158">
        <v>75820.344925199999</v>
      </c>
      <c r="C158" s="5">
        <v>1.516406898504E-2</v>
      </c>
      <c r="D158">
        <v>20243.167358939801</v>
      </c>
      <c r="E158" s="18">
        <v>6007.2433859999883</v>
      </c>
      <c r="F158" s="4">
        <v>0.70026503961960995</v>
      </c>
      <c r="G158" s="4">
        <v>6622.1355310255021</v>
      </c>
      <c r="H158" s="4">
        <v>0.71451991916592594</v>
      </c>
      <c r="I158" s="4">
        <v>6490.0220072425118</v>
      </c>
      <c r="J158" s="4">
        <v>0.71178619601724202</v>
      </c>
      <c r="K158" s="4">
        <v>6514.9479238954918</v>
      </c>
      <c r="L158" s="4">
        <v>0.73791078393783405</v>
      </c>
      <c r="M158" s="4">
        <v>6284.296287490859</v>
      </c>
      <c r="N158" s="4">
        <v>0.71451991916592594</v>
      </c>
      <c r="O158" s="4">
        <v>6490.0220072425118</v>
      </c>
      <c r="P158" s="4">
        <v>0.733668785453922</v>
      </c>
      <c r="Q158" s="4">
        <v>6320.6314510585671</v>
      </c>
      <c r="R158" s="4">
        <v>0.70026503961960995</v>
      </c>
      <c r="S158" s="4">
        <v>6622.1355310255021</v>
      </c>
      <c r="T158" s="4">
        <v>0.66005795664318001</v>
      </c>
      <c r="U158" s="4">
        <v>6346.7617155464523</v>
      </c>
      <c r="V158" s="4">
        <v>0.743723012682312</v>
      </c>
      <c r="W158" s="4">
        <v>0</v>
      </c>
    </row>
    <row r="159" spans="1:23" x14ac:dyDescent="0.3">
      <c r="A159" t="s">
        <v>222</v>
      </c>
      <c r="B159">
        <v>0</v>
      </c>
      <c r="C159" s="5">
        <v>0</v>
      </c>
      <c r="D159">
        <v>0</v>
      </c>
      <c r="E159" s="18" t="e">
        <v>#DIV/0!</v>
      </c>
      <c r="F159" s="4">
        <v>0.21470088987272001</v>
      </c>
      <c r="G159" s="4">
        <v>6308.7768327508156</v>
      </c>
      <c r="H159" s="4">
        <v>0.21932578775834</v>
      </c>
      <c r="I159" s="4">
        <v>6175.7443748130081</v>
      </c>
      <c r="J159" s="4">
        <v>0.22173547380102002</v>
      </c>
      <c r="K159" s="4">
        <v>6108.6301473597096</v>
      </c>
      <c r="L159" s="4">
        <v>0.22111070284248799</v>
      </c>
      <c r="M159" s="4">
        <v>6125.8907080807448</v>
      </c>
      <c r="N159" s="4">
        <v>7.0630342214393599E-2</v>
      </c>
      <c r="O159" s="4">
        <v>6067.5267249534845</v>
      </c>
      <c r="P159" s="4">
        <v>7.0630342214393599E-2</v>
      </c>
      <c r="Q159" s="4">
        <v>6067.5267249534845</v>
      </c>
      <c r="R159" s="4" t="e">
        <v>#N/A</v>
      </c>
      <c r="S159" s="4" t="e">
        <v>#N/A</v>
      </c>
      <c r="T159" s="4" t="e">
        <v>#N/A</v>
      </c>
      <c r="U159" s="4" t="e">
        <v>#N/A</v>
      </c>
      <c r="V159" s="4" t="e">
        <v>#N/A</v>
      </c>
      <c r="W159" s="4" t="e">
        <v>#N/A</v>
      </c>
    </row>
    <row r="160" spans="1:23" x14ac:dyDescent="0.3">
      <c r="A160" t="s">
        <v>199</v>
      </c>
      <c r="B160">
        <v>163735.01849667999</v>
      </c>
      <c r="C160" s="20">
        <v>3.2747003699335996E-2</v>
      </c>
      <c r="D160">
        <v>27250.607454576901</v>
      </c>
      <c r="E160" s="18">
        <v>3744.7008792466268</v>
      </c>
      <c r="F160" s="4">
        <v>26.652468733811599</v>
      </c>
      <c r="G160" s="4">
        <v>3675.6175093654251</v>
      </c>
      <c r="H160" s="4">
        <v>1.4285776794301341</v>
      </c>
      <c r="I160" s="4">
        <v>3345.408510338093</v>
      </c>
      <c r="J160" s="4">
        <v>112.75054647798221</v>
      </c>
      <c r="K160" s="4">
        <v>3313.4207475699841</v>
      </c>
      <c r="L160" s="4">
        <v>1.3723812292995861</v>
      </c>
      <c r="M160" s="4">
        <v>3573.4948449480767</v>
      </c>
      <c r="N160" s="4">
        <v>112.75054647798221</v>
      </c>
      <c r="O160" s="4">
        <v>3313.4207475699841</v>
      </c>
      <c r="P160" s="4">
        <v>113.6679337212976</v>
      </c>
      <c r="Q160" s="4">
        <v>3286.6789055566483</v>
      </c>
      <c r="R160" s="4">
        <v>112.75054647798221</v>
      </c>
      <c r="S160" s="4">
        <v>3313.4207475699841</v>
      </c>
      <c r="T160" s="4">
        <v>112.75054647798221</v>
      </c>
      <c r="U160" s="4">
        <v>3313.4207475699841</v>
      </c>
      <c r="V160" s="4">
        <v>112.75054647798221</v>
      </c>
      <c r="W160" s="4">
        <v>0</v>
      </c>
    </row>
    <row r="161" spans="1:23" x14ac:dyDescent="0.3">
      <c r="A161" t="s">
        <v>200</v>
      </c>
      <c r="B161">
        <v>1129894.55922102</v>
      </c>
      <c r="C161" s="5">
        <v>0.22597891184420399</v>
      </c>
      <c r="D161">
        <v>239301.641307435</v>
      </c>
      <c r="E161" s="18">
        <v>4765.3003419446168</v>
      </c>
      <c r="F161" s="4">
        <v>0.60084809001691797</v>
      </c>
      <c r="G161" s="4">
        <v>4817.2170243770697</v>
      </c>
      <c r="H161" s="4">
        <v>0.52240939674517406</v>
      </c>
      <c r="I161" s="4">
        <v>5000.8708287588106</v>
      </c>
      <c r="J161" s="4">
        <v>14.251107151105481</v>
      </c>
      <c r="K161" s="4">
        <v>5080.3323532709164</v>
      </c>
      <c r="L161" s="4">
        <v>0.48087456468702394</v>
      </c>
      <c r="M161" s="4">
        <v>4823.5123236963682</v>
      </c>
      <c r="N161" s="4">
        <v>14.251107151105481</v>
      </c>
      <c r="O161" s="4">
        <v>5080.3323532709164</v>
      </c>
      <c r="P161" s="4">
        <v>14.251107151105481</v>
      </c>
      <c r="Q161" s="4">
        <v>5080.3323532709164</v>
      </c>
      <c r="R161" s="4">
        <v>14.251107151105481</v>
      </c>
      <c r="S161" s="4">
        <v>5080.3323532709164</v>
      </c>
      <c r="T161" s="4">
        <v>0.214669367219982</v>
      </c>
      <c r="U161" s="4">
        <v>4774.9859017017061</v>
      </c>
      <c r="V161" s="4">
        <v>0.214669367219982</v>
      </c>
      <c r="W161" s="4">
        <v>0</v>
      </c>
    </row>
    <row r="162" spans="1:23" x14ac:dyDescent="0.3">
      <c r="A162" t="s">
        <v>223</v>
      </c>
      <c r="B162">
        <v>1754333.8273759999</v>
      </c>
      <c r="C162" s="5">
        <v>0.35086676547519996</v>
      </c>
      <c r="D162">
        <v>575951.75502185198</v>
      </c>
      <c r="E162" s="18">
        <v>7386.8007820237026</v>
      </c>
      <c r="F162" s="4">
        <v>7.7106182742468805</v>
      </c>
      <c r="G162" s="4">
        <v>7293.3840062899935</v>
      </c>
      <c r="H162" s="4">
        <v>7.5486382137115404</v>
      </c>
      <c r="I162" s="4">
        <v>7449.8867753193063</v>
      </c>
      <c r="J162" s="4">
        <v>7.5792488923805204</v>
      </c>
      <c r="K162" s="4">
        <v>7419.7985576822803</v>
      </c>
      <c r="L162" s="4">
        <v>7.5136197770991799</v>
      </c>
      <c r="M162" s="4">
        <v>7484.6081739993897</v>
      </c>
      <c r="N162" s="4">
        <v>7.7106182742468805</v>
      </c>
      <c r="O162" s="4">
        <v>7293.3840062899935</v>
      </c>
      <c r="P162" s="4">
        <v>7.5619505689280198</v>
      </c>
      <c r="Q162" s="4">
        <v>7436.7717016129709</v>
      </c>
      <c r="R162" s="4" t="e">
        <v>#N/A</v>
      </c>
      <c r="S162" s="4" t="e">
        <v>#N/A</v>
      </c>
      <c r="T162" s="4" t="e">
        <v>#N/A</v>
      </c>
      <c r="U162" s="4" t="e">
        <v>#N/A</v>
      </c>
      <c r="V162" s="4" t="e">
        <v>#N/A</v>
      </c>
      <c r="W162" s="4" t="e">
        <v>#N/A</v>
      </c>
    </row>
    <row r="163" spans="1:23" x14ac:dyDescent="0.3">
      <c r="A163" t="s">
        <v>224</v>
      </c>
      <c r="B163">
        <v>0</v>
      </c>
      <c r="C163" s="5">
        <v>0</v>
      </c>
      <c r="D163">
        <v>0</v>
      </c>
      <c r="E163" s="18" t="e">
        <v>#DIV/0!</v>
      </c>
      <c r="F163" s="4">
        <v>7.3136946966076595</v>
      </c>
      <c r="G163" s="4">
        <v>6725.3627667579176</v>
      </c>
      <c r="H163" s="4">
        <v>7.4128702823291794</v>
      </c>
      <c r="I163" s="4">
        <v>6635.3852322564853</v>
      </c>
      <c r="J163" s="4">
        <v>7.0288205148288991</v>
      </c>
      <c r="K163" s="4">
        <v>6997.9379749743621</v>
      </c>
      <c r="L163" s="4">
        <v>6.5451780351637598</v>
      </c>
      <c r="M163" s="4">
        <v>7515.0362199077044</v>
      </c>
      <c r="N163" s="4">
        <v>7.3136946966076595</v>
      </c>
      <c r="O163" s="4">
        <v>6725.3627667579176</v>
      </c>
      <c r="P163" s="4">
        <v>2.6917902678547199</v>
      </c>
      <c r="Q163" s="4">
        <v>6635.1891964111255</v>
      </c>
      <c r="R163" s="4" t="e">
        <v>#N/A</v>
      </c>
      <c r="S163" s="4" t="e">
        <v>#N/A</v>
      </c>
      <c r="T163" s="4" t="e">
        <v>#N/A</v>
      </c>
      <c r="U163" s="4" t="e">
        <v>#N/A</v>
      </c>
      <c r="V163" s="4" t="e">
        <v>#N/A</v>
      </c>
      <c r="W163" s="4" t="e">
        <v>#N/A</v>
      </c>
    </row>
    <row r="164" spans="1:23" x14ac:dyDescent="0.3">
      <c r="A164" t="s">
        <v>225</v>
      </c>
      <c r="B164">
        <v>0</v>
      </c>
      <c r="C164" s="5">
        <v>0</v>
      </c>
      <c r="D164">
        <v>0</v>
      </c>
      <c r="E164" s="18" t="e">
        <v>#DIV/0!</v>
      </c>
      <c r="F164" s="4">
        <v>3.2246164991571797</v>
      </c>
      <c r="G164" s="4">
        <v>7380.1799396052729</v>
      </c>
      <c r="H164" s="4">
        <v>3.18576313787938</v>
      </c>
      <c r="I164" s="4">
        <v>7470.188137038157</v>
      </c>
      <c r="J164" s="4">
        <v>3.2356466595817799</v>
      </c>
      <c r="K164" s="4">
        <v>7355.0212689404152</v>
      </c>
      <c r="L164" s="4">
        <v>3.18679805541912</v>
      </c>
      <c r="M164" s="4">
        <v>7467.7621820219529</v>
      </c>
      <c r="N164" s="4">
        <v>3.09436967157664</v>
      </c>
      <c r="O164" s="4">
        <v>7690.8231807592465</v>
      </c>
      <c r="P164" s="4">
        <v>0.10475034149153359</v>
      </c>
      <c r="Q164" s="4">
        <v>7204.759467420653</v>
      </c>
      <c r="R164" s="4" t="e">
        <v>#N/A</v>
      </c>
      <c r="S164" s="4" t="e">
        <v>#N/A</v>
      </c>
      <c r="T164" s="4" t="e">
        <v>#N/A</v>
      </c>
      <c r="U164" s="4" t="e">
        <v>#N/A</v>
      </c>
      <c r="V164" s="4" t="e">
        <v>#N/A</v>
      </c>
      <c r="W164" s="4" t="e">
        <v>#N/A</v>
      </c>
    </row>
    <row r="165" spans="1:23" x14ac:dyDescent="0.3">
      <c r="A165" t="s">
        <v>201</v>
      </c>
      <c r="B165">
        <v>45085549.010481998</v>
      </c>
      <c r="C165" s="5">
        <v>9.0171098020963996</v>
      </c>
      <c r="D165">
        <v>13507368.8758178</v>
      </c>
      <c r="E165" s="18">
        <v>6740.8694443366485</v>
      </c>
      <c r="F165" s="4">
        <v>65.541439595872802</v>
      </c>
      <c r="G165" s="4">
        <v>6732.2750723922982</v>
      </c>
      <c r="H165" s="4">
        <v>66.5956586434298</v>
      </c>
      <c r="I165" s="4">
        <v>6625.7021702049369</v>
      </c>
      <c r="J165" s="4">
        <v>66.608284233646401</v>
      </c>
      <c r="K165" s="4">
        <v>6624.4462693592577</v>
      </c>
      <c r="L165" s="4">
        <v>66.605618915692204</v>
      </c>
      <c r="M165" s="4">
        <v>6624.7113559370255</v>
      </c>
      <c r="N165" s="4">
        <v>65.541439595872802</v>
      </c>
      <c r="O165" s="4">
        <v>6732.2750723922982</v>
      </c>
      <c r="P165" s="4">
        <v>65.665991639927995</v>
      </c>
      <c r="Q165" s="4">
        <v>6719.5056220197794</v>
      </c>
      <c r="R165" s="4">
        <v>65.541439595872802</v>
      </c>
      <c r="S165" s="4">
        <v>6732.2750723922982</v>
      </c>
      <c r="T165" s="4">
        <v>66.49483832913279</v>
      </c>
      <c r="U165" s="4">
        <v>6570.4390218085609</v>
      </c>
      <c r="V165" s="4">
        <v>28.235730919492401</v>
      </c>
      <c r="W165" s="4">
        <v>0</v>
      </c>
    </row>
    <row r="166" spans="1:23" x14ac:dyDescent="0.3">
      <c r="A166" t="s">
        <v>226</v>
      </c>
      <c r="B166">
        <v>0</v>
      </c>
      <c r="C166" s="20">
        <v>0</v>
      </c>
      <c r="D166">
        <v>0</v>
      </c>
      <c r="E166" s="18" t="e">
        <v>#DIV/0!</v>
      </c>
      <c r="F166" s="4">
        <v>0.22649675870552399</v>
      </c>
      <c r="G166" s="4">
        <v>7142.4863174456759</v>
      </c>
      <c r="H166" s="4">
        <v>0.22459303903046599</v>
      </c>
      <c r="I166" s="4">
        <v>7203.0282282281796</v>
      </c>
      <c r="J166" s="4">
        <v>0.22737789244769802</v>
      </c>
      <c r="K166" s="4">
        <v>7114.8077879739958</v>
      </c>
      <c r="L166" s="4">
        <v>0.230967763840388</v>
      </c>
      <c r="M166" s="4">
        <v>7004.2241960568936</v>
      </c>
      <c r="N166" s="4">
        <v>0.22258792453930801</v>
      </c>
      <c r="O166" s="4">
        <v>7267.914480753032</v>
      </c>
      <c r="P166" s="4">
        <v>0.23020272873072201</v>
      </c>
      <c r="Q166" s="4">
        <v>7027.5014067811135</v>
      </c>
      <c r="R166" s="4" t="e">
        <v>#N/A</v>
      </c>
      <c r="S166" s="4" t="e">
        <v>#N/A</v>
      </c>
      <c r="T166" s="4" t="e">
        <v>#N/A</v>
      </c>
      <c r="U166" s="4" t="e">
        <v>#N/A</v>
      </c>
      <c r="V166" s="4" t="e">
        <v>#N/A</v>
      </c>
      <c r="W166" s="4" t="e">
        <v>#N/A</v>
      </c>
    </row>
    <row r="167" spans="1:23" x14ac:dyDescent="0.3">
      <c r="A167" t="s">
        <v>202</v>
      </c>
      <c r="B167">
        <v>314934.77226100001</v>
      </c>
      <c r="C167" s="5">
        <v>6.2986954452199997E-2</v>
      </c>
      <c r="D167">
        <v>103711.62424115901</v>
      </c>
      <c r="E167" s="18">
        <v>7409.5074629999772</v>
      </c>
      <c r="F167" s="4">
        <v>6.5849415672809197</v>
      </c>
      <c r="G167" s="4">
        <v>7269.7683815237087</v>
      </c>
      <c r="H167" s="4">
        <v>6.3010468958986605</v>
      </c>
      <c r="I167" s="4">
        <v>7597.3089537166734</v>
      </c>
      <c r="J167" s="4">
        <v>6.6447231995112599</v>
      </c>
      <c r="K167" s="4">
        <v>7204.3633064385676</v>
      </c>
      <c r="L167" s="4">
        <v>6.4228840417470403</v>
      </c>
      <c r="M167" s="4">
        <v>7453.1938750335858</v>
      </c>
      <c r="N167" s="4" t="e">
        <v>#N/A</v>
      </c>
      <c r="O167" s="4" t="e">
        <v>#N/A</v>
      </c>
      <c r="P167" s="4">
        <v>0.41503056258232002</v>
      </c>
      <c r="Q167" s="4">
        <v>7100.7164537920316</v>
      </c>
      <c r="R167" s="4">
        <v>6.4181321917462606</v>
      </c>
      <c r="S167" s="4">
        <v>7458.7120629210895</v>
      </c>
      <c r="T167" s="4">
        <v>6.4181321917462606</v>
      </c>
      <c r="U167" s="4">
        <v>7458.7120629210895</v>
      </c>
      <c r="V167" s="4">
        <v>5.21407131048396</v>
      </c>
      <c r="W167" s="4">
        <v>0</v>
      </c>
    </row>
    <row r="168" spans="1:23" x14ac:dyDescent="0.3">
      <c r="A168" t="s">
        <v>203</v>
      </c>
      <c r="B168">
        <v>155553732.98864901</v>
      </c>
      <c r="C168" s="5">
        <v>31.110746597729801</v>
      </c>
      <c r="D168">
        <v>46343299.772389397</v>
      </c>
      <c r="E168" s="18">
        <v>6703.3058277993914</v>
      </c>
      <c r="F168" s="4">
        <v>110.99056278991101</v>
      </c>
      <c r="G168" s="4">
        <v>6713.0504726815198</v>
      </c>
      <c r="H168" s="4">
        <v>41.143686919621402</v>
      </c>
      <c r="I168" s="4">
        <v>6581.0110265329768</v>
      </c>
      <c r="J168" s="4">
        <v>117.0036960626924</v>
      </c>
      <c r="K168" s="4">
        <v>6368.048831558036</v>
      </c>
      <c r="L168" s="4">
        <v>57.0137262574682</v>
      </c>
      <c r="M168" s="4">
        <v>6708.5924750190388</v>
      </c>
      <c r="N168" s="4">
        <v>110.99056278991101</v>
      </c>
      <c r="O168" s="4">
        <v>6713.0504726815198</v>
      </c>
      <c r="P168" s="4">
        <v>35.728865766279398</v>
      </c>
      <c r="Q168" s="4">
        <v>6703.0338237381802</v>
      </c>
      <c r="R168" s="4">
        <v>110.99056278991101</v>
      </c>
      <c r="S168" s="4">
        <v>6713.0504726815198</v>
      </c>
      <c r="T168" s="4">
        <v>35.728865766279398</v>
      </c>
      <c r="U168" s="4">
        <v>6703.0338237381802</v>
      </c>
      <c r="V168" s="4">
        <v>114.93407004712719</v>
      </c>
      <c r="W168" s="4">
        <v>0</v>
      </c>
    </row>
    <row r="169" spans="1:23" x14ac:dyDescent="0.3">
      <c r="A169" t="s">
        <v>228</v>
      </c>
      <c r="B169">
        <v>0</v>
      </c>
      <c r="C169" s="5">
        <v>0</v>
      </c>
      <c r="D169">
        <v>0</v>
      </c>
      <c r="E169" s="18" t="e">
        <v>#DIV/0!</v>
      </c>
      <c r="F169" s="4">
        <v>10.88093912807558</v>
      </c>
      <c r="G169" s="4">
        <v>6741.1460662194504</v>
      </c>
      <c r="H169" s="4">
        <v>10.53928344248788</v>
      </c>
      <c r="I169" s="4">
        <v>6536.9681432707957</v>
      </c>
      <c r="J169" s="4">
        <v>11.16085525606694</v>
      </c>
      <c r="K169" s="4">
        <v>6572.0769884662377</v>
      </c>
      <c r="L169" s="4">
        <v>11.116256131924219</v>
      </c>
      <c r="M169" s="4">
        <v>6598.444577878141</v>
      </c>
      <c r="N169" s="4">
        <v>10.88093912807558</v>
      </c>
      <c r="O169" s="4">
        <v>6741.1460662194504</v>
      </c>
      <c r="P169" s="4">
        <v>5.8301205615266998</v>
      </c>
      <c r="Q169" s="4">
        <v>6659.9662179254938</v>
      </c>
      <c r="R169" s="4" t="e">
        <v>#N/A</v>
      </c>
      <c r="S169" s="4" t="e">
        <v>#N/A</v>
      </c>
      <c r="T169" s="4" t="e">
        <v>#N/A</v>
      </c>
      <c r="U169" s="4" t="e">
        <v>#N/A</v>
      </c>
      <c r="V169" s="4" t="e">
        <v>#N/A</v>
      </c>
      <c r="W169" s="4" t="e">
        <v>#N/A</v>
      </c>
    </row>
    <row r="170" spans="1:23" x14ac:dyDescent="0.3">
      <c r="A170" t="s">
        <v>204</v>
      </c>
      <c r="B170">
        <v>365468.27964000002</v>
      </c>
      <c r="C170" s="5">
        <v>7.3093655928000004E-2</v>
      </c>
      <c r="D170">
        <v>116271.63160722599</v>
      </c>
      <c r="E170" s="18">
        <v>7158.2456177579988</v>
      </c>
      <c r="F170" s="4">
        <v>1.9460439672003518</v>
      </c>
      <c r="G170" s="4">
        <v>7243.5413780909412</v>
      </c>
      <c r="H170" s="4">
        <v>1.9293982544996</v>
      </c>
      <c r="I170" s="4">
        <v>7306.0343903213179</v>
      </c>
      <c r="J170" s="4">
        <v>1.9184251736439659</v>
      </c>
      <c r="K170" s="4">
        <v>7347.8237221130612</v>
      </c>
      <c r="L170" s="4">
        <v>1.909153791731212</v>
      </c>
      <c r="M170" s="4">
        <v>7383.5067981702732</v>
      </c>
      <c r="N170" s="4">
        <v>1.8590761757311478</v>
      </c>
      <c r="O170" s="4">
        <v>7582.3950540682417</v>
      </c>
      <c r="P170" s="4">
        <v>3.5034897207663E-2</v>
      </c>
      <c r="Q170" s="4">
        <v>7036.9065714471126</v>
      </c>
      <c r="R170" s="4">
        <v>1.88685891957452</v>
      </c>
      <c r="S170" s="4">
        <v>7470.7493251157621</v>
      </c>
      <c r="T170" s="4">
        <v>1.88685891957452</v>
      </c>
      <c r="U170" s="4">
        <v>7470.7493251157621</v>
      </c>
      <c r="V170" s="4">
        <v>1.8040805817264638</v>
      </c>
      <c r="W170" s="4">
        <v>0</v>
      </c>
    </row>
    <row r="171" spans="1:23" x14ac:dyDescent="0.3">
      <c r="A171" t="s">
        <v>205</v>
      </c>
      <c r="B171">
        <v>102150822.702571</v>
      </c>
      <c r="C171" s="5">
        <v>20.430164540514202</v>
      </c>
      <c r="D171">
        <v>21009121.259147599</v>
      </c>
      <c r="E171" s="18">
        <v>4627.5224792577583</v>
      </c>
      <c r="F171" s="4">
        <v>20.133871220024801</v>
      </c>
      <c r="G171" s="4">
        <v>4689.4363721833397</v>
      </c>
      <c r="H171" s="4">
        <v>27.303752912742002</v>
      </c>
      <c r="I171" s="4">
        <v>4654.4948415394638</v>
      </c>
      <c r="J171" s="4">
        <v>50.066331598035404</v>
      </c>
      <c r="K171" s="4">
        <v>4659.328785517685</v>
      </c>
      <c r="L171" s="4">
        <v>20.176437833234999</v>
      </c>
      <c r="M171" s="4">
        <v>4577.6746118758847</v>
      </c>
      <c r="N171" s="4" t="e">
        <v>#N/A</v>
      </c>
      <c r="O171" s="4" t="e">
        <v>#N/A</v>
      </c>
      <c r="P171" s="4">
        <v>22.371663663678198</v>
      </c>
      <c r="Q171" s="4">
        <v>4629.7791333283694</v>
      </c>
      <c r="R171" s="4">
        <v>20.133871220024801</v>
      </c>
      <c r="S171" s="4">
        <v>4689.4363721833397</v>
      </c>
      <c r="T171" s="4">
        <v>22.371663663678198</v>
      </c>
      <c r="U171" s="4">
        <v>4629.7791333283694</v>
      </c>
      <c r="V171" s="4">
        <v>22.371663663678198</v>
      </c>
      <c r="W171" s="4">
        <v>0</v>
      </c>
    </row>
    <row r="172" spans="1:23" x14ac:dyDescent="0.3">
      <c r="A172" t="s">
        <v>206</v>
      </c>
      <c r="B172">
        <v>84689178.680392504</v>
      </c>
      <c r="C172" s="20">
        <v>16.937835736078501</v>
      </c>
      <c r="D172">
        <v>30265858.547571901</v>
      </c>
      <c r="E172" s="18">
        <v>8040.9543218067693</v>
      </c>
      <c r="F172" s="4">
        <v>47.013692955628002</v>
      </c>
      <c r="G172" s="4">
        <v>8017.8608890769019</v>
      </c>
      <c r="H172" s="4">
        <v>46.472627173130604</v>
      </c>
      <c r="I172" s="4">
        <v>8111.2102527731286</v>
      </c>
      <c r="J172" s="4">
        <v>46.850856965873405</v>
      </c>
      <c r="K172" s="4">
        <v>8045.7279634089364</v>
      </c>
      <c r="L172" s="4">
        <v>46.572891318007201</v>
      </c>
      <c r="M172" s="4">
        <v>8093.7480867599515</v>
      </c>
      <c r="N172" s="4">
        <v>47.013692955628002</v>
      </c>
      <c r="O172" s="4">
        <v>8017.8608890769019</v>
      </c>
      <c r="P172" s="4">
        <v>46.750590201274399</v>
      </c>
      <c r="Q172" s="4">
        <v>8062.9837693412583</v>
      </c>
      <c r="R172" s="4">
        <v>46.472627173130604</v>
      </c>
      <c r="S172" s="4">
        <v>8111.2102527731286</v>
      </c>
      <c r="T172" s="4">
        <v>22.583780576354201</v>
      </c>
      <c r="U172" s="4">
        <v>8051.7394533498127</v>
      </c>
      <c r="V172" s="4">
        <v>23.996972067495598</v>
      </c>
      <c r="W172" s="4">
        <v>0</v>
      </c>
    </row>
    <row r="173" spans="1:23" x14ac:dyDescent="0.3">
      <c r="A173" t="s">
        <v>207</v>
      </c>
      <c r="B173">
        <v>145201388.979368</v>
      </c>
      <c r="C173" s="5">
        <v>29.0402777958736</v>
      </c>
      <c r="D173">
        <v>25477760.728611398</v>
      </c>
      <c r="E173" s="18">
        <v>3947.9623468010409</v>
      </c>
      <c r="F173" s="4">
        <v>56.1104679650362</v>
      </c>
      <c r="G173" s="4">
        <v>3825.0476379396464</v>
      </c>
      <c r="H173" s="4">
        <v>106.0918846832694</v>
      </c>
      <c r="I173" s="4">
        <v>3941.7995113819134</v>
      </c>
      <c r="J173" s="4">
        <v>176.12232823047358</v>
      </c>
      <c r="K173" s="4">
        <v>3724.8556534042586</v>
      </c>
      <c r="L173" s="4">
        <v>40.515506707027605</v>
      </c>
      <c r="M173" s="4">
        <v>3899.3614054441191</v>
      </c>
      <c r="N173" s="4">
        <v>176.12232823047358</v>
      </c>
      <c r="O173" s="4">
        <v>3724.8556534042586</v>
      </c>
      <c r="P173" s="4">
        <v>30.502124416685199</v>
      </c>
      <c r="Q173" s="4">
        <v>3936.3834731989996</v>
      </c>
      <c r="R173" s="4">
        <v>176.12232823047358</v>
      </c>
      <c r="S173" s="4">
        <v>3724.8556534042586</v>
      </c>
      <c r="T173" s="4">
        <v>176.12232823047358</v>
      </c>
      <c r="U173" s="4">
        <v>3724.8556534042586</v>
      </c>
      <c r="V173" s="4">
        <v>176.12232823047358</v>
      </c>
      <c r="W173" s="4">
        <v>0</v>
      </c>
    </row>
    <row r="174" spans="1:23" x14ac:dyDescent="0.3">
      <c r="A174" t="s">
        <v>209</v>
      </c>
      <c r="B174">
        <v>1688174305.93258</v>
      </c>
      <c r="C174" s="5">
        <v>337.63486118651599</v>
      </c>
      <c r="D174">
        <v>524214709.26949298</v>
      </c>
      <c r="E174" s="18">
        <v>6986.7376355120505</v>
      </c>
      <c r="F174" s="4">
        <v>1398.4389100542901</v>
      </c>
      <c r="G174" s="4">
        <v>7128.2454158923583</v>
      </c>
      <c r="H174" s="4">
        <v>434.69844571647997</v>
      </c>
      <c r="I174" s="4">
        <v>7085.9941050557291</v>
      </c>
      <c r="J174" s="4">
        <v>1693.1693630640038</v>
      </c>
      <c r="K174" s="4">
        <v>5887.4297914066274</v>
      </c>
      <c r="L174" s="4">
        <v>1461.0138912578</v>
      </c>
      <c r="M174" s="4">
        <v>6822.9438540232504</v>
      </c>
      <c r="N174" s="4">
        <v>434.69844571647997</v>
      </c>
      <c r="O174" s="4">
        <v>7085.9941050557291</v>
      </c>
      <c r="P174" s="4">
        <v>434.69844571647997</v>
      </c>
      <c r="Q174" s="4">
        <v>7085.9941050557291</v>
      </c>
      <c r="R174" s="4">
        <v>434.69844571647997</v>
      </c>
      <c r="S174" s="4">
        <v>7085.9941050557291</v>
      </c>
      <c r="T174" s="4">
        <v>434.69844571647997</v>
      </c>
      <c r="U174" s="4">
        <v>7085.9941050557291</v>
      </c>
      <c r="V174" s="4">
        <v>434.69844571647997</v>
      </c>
      <c r="W174" s="4">
        <v>0</v>
      </c>
    </row>
    <row r="175" spans="1:23" x14ac:dyDescent="0.3">
      <c r="A175" t="s">
        <v>210</v>
      </c>
      <c r="B175">
        <v>2803812.3718360001</v>
      </c>
      <c r="C175" s="5">
        <v>0.56076247436720006</v>
      </c>
      <c r="D175">
        <v>833337.39337619406</v>
      </c>
      <c r="E175" s="18">
        <v>6687.3559512423362</v>
      </c>
      <c r="F175" s="4">
        <v>4.4191381541376797</v>
      </c>
      <c r="G175" s="4">
        <v>6588.8978765547863</v>
      </c>
      <c r="H175" s="4">
        <v>4.4483815832696605</v>
      </c>
      <c r="I175" s="4">
        <v>6545.5828046563784</v>
      </c>
      <c r="J175" s="4">
        <v>4.5052025848686599</v>
      </c>
      <c r="K175" s="4">
        <v>6463.027899742905</v>
      </c>
      <c r="L175" s="4">
        <v>4.50973311958096</v>
      </c>
      <c r="M175" s="4">
        <v>6456.5350604839214</v>
      </c>
      <c r="N175" s="4">
        <v>4.4483815832696605</v>
      </c>
      <c r="O175" s="4">
        <v>6545.5828046563784</v>
      </c>
      <c r="P175" s="4">
        <v>4.5053450733912204</v>
      </c>
      <c r="Q175" s="4">
        <v>6462.823496465975</v>
      </c>
      <c r="R175" s="4">
        <v>4.5161932194752596</v>
      </c>
      <c r="S175" s="4">
        <v>6447.2994367108058</v>
      </c>
      <c r="T175" s="4">
        <v>4.4191381541376797</v>
      </c>
      <c r="U175" s="4">
        <v>6588.8978765547863</v>
      </c>
      <c r="V175" s="4">
        <v>4.4191381541376797</v>
      </c>
      <c r="W175" s="4">
        <v>0</v>
      </c>
    </row>
    <row r="176" spans="1:23" x14ac:dyDescent="0.3">
      <c r="A176" t="s">
        <v>229</v>
      </c>
      <c r="B176">
        <v>0</v>
      </c>
      <c r="C176" s="5">
        <v>0</v>
      </c>
      <c r="D176">
        <v>0</v>
      </c>
      <c r="E176" s="18" t="e">
        <v>#DIV/0!</v>
      </c>
      <c r="F176" s="4">
        <v>25.3239758793638</v>
      </c>
      <c r="G176" s="4">
        <v>6603.9393180863126</v>
      </c>
      <c r="H176" s="4">
        <v>11.82566409218394</v>
      </c>
      <c r="I176" s="4">
        <v>6260.1620844404933</v>
      </c>
      <c r="J176" s="4">
        <v>26.729225603081399</v>
      </c>
      <c r="K176" s="4">
        <v>6256.746921269596</v>
      </c>
      <c r="L176" s="4">
        <v>26.879971721910398</v>
      </c>
      <c r="M176" s="4">
        <v>6221.6583309751395</v>
      </c>
      <c r="N176" s="4">
        <v>25.3239758793638</v>
      </c>
      <c r="O176" s="4">
        <v>6603.9393180863126</v>
      </c>
      <c r="P176" s="4">
        <v>6.1410486199600403</v>
      </c>
      <c r="Q176" s="4">
        <v>6468.3067846403083</v>
      </c>
      <c r="R176" s="4" t="e">
        <v>#N/A</v>
      </c>
      <c r="S176" s="4" t="e">
        <v>#N/A</v>
      </c>
      <c r="T176" s="4" t="e">
        <v>#N/A</v>
      </c>
      <c r="U176" s="4" t="e">
        <v>#N/A</v>
      </c>
      <c r="V176" s="4" t="e">
        <v>#N/A</v>
      </c>
      <c r="W176" s="4" t="e">
        <v>#N/A</v>
      </c>
    </row>
    <row r="177" spans="1:23" x14ac:dyDescent="0.3">
      <c r="A177" t="s">
        <v>232</v>
      </c>
      <c r="B177">
        <v>0</v>
      </c>
      <c r="C177" s="5">
        <v>0</v>
      </c>
      <c r="D177">
        <v>0</v>
      </c>
      <c r="E177" s="18" t="e">
        <v>#DIV/0!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 t="e">
        <v>#N/A</v>
      </c>
      <c r="O177" s="4" t="e">
        <v>#N/A</v>
      </c>
      <c r="P177" s="4" t="e">
        <v>#N/A</v>
      </c>
      <c r="Q177" s="4" t="e">
        <v>#N/A</v>
      </c>
      <c r="R177" s="4" t="e">
        <v>#N/A</v>
      </c>
      <c r="S177" s="4" t="e">
        <v>#N/A</v>
      </c>
      <c r="T177" s="4" t="e">
        <v>#N/A</v>
      </c>
      <c r="U177" s="4" t="e">
        <v>#N/A</v>
      </c>
      <c r="V177" s="4" t="e">
        <v>#N/A</v>
      </c>
      <c r="W177" s="4" t="e">
        <v>#N/A</v>
      </c>
    </row>
    <row r="178" spans="1:23" x14ac:dyDescent="0.3">
      <c r="A178" t="s">
        <v>211</v>
      </c>
      <c r="B178">
        <v>7974.5793114500002</v>
      </c>
      <c r="C178" s="20">
        <v>1.59491586229E-3</v>
      </c>
      <c r="D178">
        <v>2673.1982732084898</v>
      </c>
      <c r="E178" s="18">
        <v>7542.3365670000003</v>
      </c>
      <c r="F178" s="4">
        <v>22.300631941075999</v>
      </c>
      <c r="G178" s="4">
        <v>7096.2787251115196</v>
      </c>
      <c r="H178" s="4">
        <v>22.864121545466201</v>
      </c>
      <c r="I178" s="4">
        <v>6921.3899027483176</v>
      </c>
      <c r="J178" s="4">
        <v>22.718646768937599</v>
      </c>
      <c r="K178" s="4">
        <v>6965.7097805830426</v>
      </c>
      <c r="L178" s="4">
        <v>22.736927235522</v>
      </c>
      <c r="M178" s="4">
        <v>6960.1093569390941</v>
      </c>
      <c r="N178" s="4">
        <v>22.864121545466201</v>
      </c>
      <c r="O178" s="4">
        <v>6921.3899027483176</v>
      </c>
      <c r="P178" s="4">
        <v>22.5598343068948</v>
      </c>
      <c r="Q178" s="4">
        <v>7014.7456691042598</v>
      </c>
      <c r="R178" s="4">
        <v>22.425394693346803</v>
      </c>
      <c r="S178" s="4">
        <v>7056.7988730628604</v>
      </c>
      <c r="T178" s="4">
        <v>22.425394693346803</v>
      </c>
      <c r="U178" s="4">
        <v>7056.7988730628604</v>
      </c>
      <c r="V178" s="4">
        <v>0.64793472181942402</v>
      </c>
      <c r="W178" s="4">
        <v>0</v>
      </c>
    </row>
    <row r="179" spans="1:23" x14ac:dyDescent="0.3">
      <c r="A179" t="s">
        <v>212</v>
      </c>
      <c r="B179">
        <v>109067954.55526499</v>
      </c>
      <c r="C179" s="5">
        <v>21.813590911052998</v>
      </c>
      <c r="D179">
        <v>33099464.904435799</v>
      </c>
      <c r="E179" s="18">
        <v>6828.2014033044416</v>
      </c>
      <c r="F179" s="4">
        <v>58.834537173558196</v>
      </c>
      <c r="G179" s="4">
        <v>6746.5308295799096</v>
      </c>
      <c r="H179" s="4">
        <v>101.30923956670399</v>
      </c>
      <c r="I179" s="4">
        <v>6085.7060287582062</v>
      </c>
      <c r="J179" s="4">
        <v>97.785900575712205</v>
      </c>
      <c r="K179" s="4">
        <v>6304.9810491097951</v>
      </c>
      <c r="L179" s="4">
        <v>67.944797339944799</v>
      </c>
      <c r="M179" s="4">
        <v>6261.440623987738</v>
      </c>
      <c r="N179" s="4">
        <v>58.834537173558196</v>
      </c>
      <c r="O179" s="4">
        <v>6746.5308295799096</v>
      </c>
      <c r="P179" s="4">
        <v>25.811414807202198</v>
      </c>
      <c r="Q179" s="4">
        <v>6821.4051365761397</v>
      </c>
      <c r="R179" s="4">
        <v>26.213216839909197</v>
      </c>
      <c r="S179" s="4">
        <v>6627.2136780774154</v>
      </c>
      <c r="T179" s="4">
        <v>26.213216839909197</v>
      </c>
      <c r="U179" s="4">
        <v>6627.2136780774154</v>
      </c>
      <c r="V179" s="4">
        <v>26.213216839909197</v>
      </c>
      <c r="W179" s="4">
        <v>0</v>
      </c>
    </row>
    <row r="180" spans="1:23" x14ac:dyDescent="0.3">
      <c r="A180" t="s">
        <v>230</v>
      </c>
      <c r="B180">
        <v>478441.50644299999</v>
      </c>
      <c r="C180" s="5">
        <v>9.5688301288599995E-2</v>
      </c>
      <c r="D180">
        <v>166948.943251608</v>
      </c>
      <c r="E180" s="18">
        <v>7851.2235509999591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 t="e">
        <v>#N/A</v>
      </c>
      <c r="S180" s="4" t="e">
        <v>#N/A</v>
      </c>
      <c r="T180" s="4" t="e">
        <v>#N/A</v>
      </c>
      <c r="U180" s="4" t="e">
        <v>#N/A</v>
      </c>
      <c r="V180" s="4" t="e">
        <v>#N/A</v>
      </c>
      <c r="W180" s="4" t="e">
        <v>#N/A</v>
      </c>
    </row>
    <row r="181" spans="1:23" x14ac:dyDescent="0.3">
      <c r="A181" t="s">
        <v>231</v>
      </c>
      <c r="B181">
        <v>5199.1999209100004</v>
      </c>
      <c r="C181" s="5">
        <v>1.0398399841820001E-3</v>
      </c>
      <c r="D181">
        <v>1726.5343502717101</v>
      </c>
      <c r="E181" s="18">
        <v>7471.7309339999747</v>
      </c>
      <c r="F181" s="4">
        <v>1.447730487199328</v>
      </c>
      <c r="G181" s="4">
        <v>7983.7028384749519</v>
      </c>
      <c r="H181" s="4">
        <v>1.408281944267924</v>
      </c>
      <c r="I181" s="4">
        <v>8207.340900055633</v>
      </c>
      <c r="J181" s="4">
        <v>1.4080376959587559</v>
      </c>
      <c r="K181" s="4">
        <v>8208.7646042244614</v>
      </c>
      <c r="L181" s="4">
        <v>1.3828513208954318</v>
      </c>
      <c r="M181" s="4">
        <v>8358.2738255011645</v>
      </c>
      <c r="N181" s="4">
        <v>1.447730487199328</v>
      </c>
      <c r="O181" s="4">
        <v>7983.7028384749519</v>
      </c>
      <c r="P181" s="4">
        <v>1.3894667003302279</v>
      </c>
      <c r="Q181" s="4">
        <v>8318.4793109852562</v>
      </c>
      <c r="R181" s="4" t="e">
        <v>#N/A</v>
      </c>
      <c r="S181" s="4" t="e">
        <v>#N/A</v>
      </c>
      <c r="T181" s="4" t="e">
        <v>#N/A</v>
      </c>
      <c r="U181" s="4" t="e">
        <v>#N/A</v>
      </c>
      <c r="V181" s="4" t="e">
        <v>#N/A</v>
      </c>
      <c r="W181" s="4" t="e">
        <v>#N/A</v>
      </c>
    </row>
    <row r="182" spans="1:23" x14ac:dyDescent="0.3">
      <c r="A182" t="s">
        <v>213</v>
      </c>
      <c r="B182">
        <v>948327.50462499994</v>
      </c>
      <c r="C182" s="5">
        <v>0.18966550092499998</v>
      </c>
      <c r="D182">
        <v>313885.67199816997</v>
      </c>
      <c r="E182" s="18">
        <v>7447.2453719999839</v>
      </c>
      <c r="F182" s="4">
        <v>5.841483393861</v>
      </c>
      <c r="G182" s="4">
        <v>7498.9941845998092</v>
      </c>
      <c r="H182" s="4">
        <v>5.8499473298362998</v>
      </c>
      <c r="I182" s="4">
        <v>7488.1443421860358</v>
      </c>
      <c r="J182" s="4">
        <v>5.8824106899676396</v>
      </c>
      <c r="K182" s="4">
        <v>7446.8193923809449</v>
      </c>
      <c r="L182" s="4">
        <v>5.8936546284058196</v>
      </c>
      <c r="M182" s="4">
        <v>7432.6123198448977</v>
      </c>
      <c r="N182" s="4">
        <v>5.8340251267631595</v>
      </c>
      <c r="O182" s="4">
        <v>7508.580962232515</v>
      </c>
      <c r="P182" s="4">
        <v>3.5245646016866E-2</v>
      </c>
      <c r="Q182" s="4">
        <v>7446.6641829347436</v>
      </c>
      <c r="R182" s="4">
        <v>5.8751314348247794</v>
      </c>
      <c r="S182" s="4">
        <v>7456.0459601541579</v>
      </c>
      <c r="T182" s="4">
        <v>5.8751314348247794</v>
      </c>
      <c r="U182" s="4">
        <v>7456.0459601541579</v>
      </c>
      <c r="V182" s="4">
        <v>0.1783856439315914</v>
      </c>
      <c r="W182" s="4">
        <v>0</v>
      </c>
    </row>
    <row r="183" spans="1:23" x14ac:dyDescent="0.3">
      <c r="A183" t="s">
        <v>215</v>
      </c>
      <c r="B183">
        <v>36793.8157966</v>
      </c>
      <c r="C183" s="5">
        <v>7.3587631593199998E-3</v>
      </c>
      <c r="D183">
        <v>12042.6825283499</v>
      </c>
      <c r="E183" s="18">
        <v>7364.2907380351498</v>
      </c>
      <c r="F183" s="4">
        <v>2.5103699379023401</v>
      </c>
      <c r="G183" s="4">
        <v>7253.612196780693</v>
      </c>
      <c r="H183" s="4">
        <v>2.47382011766768</v>
      </c>
      <c r="I183" s="4">
        <v>7360.7817601417582</v>
      </c>
      <c r="J183" s="4">
        <v>2.5391950444375397</v>
      </c>
      <c r="K183" s="4">
        <v>7171.2687215146589</v>
      </c>
      <c r="L183" s="4">
        <v>2.4689074042098</v>
      </c>
      <c r="M183" s="4">
        <v>7375.4284866864082</v>
      </c>
      <c r="N183" s="4">
        <v>2.4533856724720402</v>
      </c>
      <c r="O183" s="4">
        <v>7422.0902992607344</v>
      </c>
      <c r="P183" s="4">
        <v>9.9673812897991994E-3</v>
      </c>
      <c r="Q183" s="4">
        <v>7249.1749283541249</v>
      </c>
      <c r="R183" s="4">
        <v>2.4680386282230797</v>
      </c>
      <c r="S183" s="4">
        <v>7378.0247163757567</v>
      </c>
      <c r="T183" s="4">
        <v>2.4680386282230797</v>
      </c>
      <c r="U183" s="4">
        <v>7378.0247163757567</v>
      </c>
      <c r="V183" s="4">
        <v>8.3321512528627989E-2</v>
      </c>
      <c r="W183" s="4">
        <v>0</v>
      </c>
    </row>
    <row r="184" spans="1:23" x14ac:dyDescent="0.3">
      <c r="A184" t="s">
        <v>243</v>
      </c>
      <c r="B184">
        <v>10165162906.726625</v>
      </c>
      <c r="C184">
        <v>2033.0325813453255</v>
      </c>
      <c r="D184">
        <v>2869056565.2003627</v>
      </c>
      <c r="E184" s="22">
        <v>6350.4907210381043</v>
      </c>
    </row>
  </sheetData>
  <mergeCells count="18">
    <mergeCell ref="T2:U2"/>
    <mergeCell ref="V1:W1"/>
    <mergeCell ref="V2:W2"/>
    <mergeCell ref="F1:G1"/>
    <mergeCell ref="H1:I1"/>
    <mergeCell ref="J1:K1"/>
    <mergeCell ref="L1:M1"/>
    <mergeCell ref="N1:O1"/>
    <mergeCell ref="P1:Q1"/>
    <mergeCell ref="R1:S1"/>
    <mergeCell ref="T1:U1"/>
    <mergeCell ref="P2:Q2"/>
    <mergeCell ref="R2:S2"/>
    <mergeCell ref="F2:G2"/>
    <mergeCell ref="H2:I2"/>
    <mergeCell ref="J2:K2"/>
    <mergeCell ref="L2:M2"/>
    <mergeCell ref="N2:O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3E5E-8032-43A2-93DD-746C8960E52F}">
  <dimension ref="A1:AI186"/>
  <sheetViews>
    <sheetView tabSelected="1" workbookViewId="0">
      <pane xSplit="1" ySplit="3" topLeftCell="B169" activePane="bottomRight" state="frozen"/>
      <selection pane="topRight" activeCell="B1" sqref="B1"/>
      <selection pane="bottomLeft" activeCell="A4" sqref="A4"/>
      <selection pane="bottomRight" activeCell="F206" sqref="F206"/>
    </sheetView>
  </sheetViews>
  <sheetFormatPr defaultRowHeight="14" x14ac:dyDescent="0.3"/>
  <cols>
    <col min="1" max="1" width="14.08203125" customWidth="1"/>
    <col min="2" max="5" width="8.08203125" customWidth="1"/>
    <col min="6" max="14" width="8.6640625" customWidth="1"/>
  </cols>
  <sheetData>
    <row r="1" spans="1:14" ht="51.5" customHeight="1" x14ac:dyDescent="0.3"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25</v>
      </c>
      <c r="K1" s="19" t="s">
        <v>21</v>
      </c>
      <c r="L1" s="19" t="s">
        <v>22</v>
      </c>
      <c r="M1" s="19" t="s">
        <v>23</v>
      </c>
      <c r="N1" s="19" t="s">
        <v>24</v>
      </c>
    </row>
    <row r="2" spans="1:14" s="1" customFormat="1" ht="55.5" customHeight="1" x14ac:dyDescent="0.3">
      <c r="F2" s="17" t="s">
        <v>46</v>
      </c>
      <c r="G2" s="17" t="s">
        <v>47</v>
      </c>
      <c r="H2" s="17" t="s">
        <v>48</v>
      </c>
      <c r="I2" s="17" t="s">
        <v>49</v>
      </c>
      <c r="J2" s="17" t="s">
        <v>238</v>
      </c>
      <c r="K2" s="17" t="s">
        <v>50</v>
      </c>
      <c r="L2" s="17" t="s">
        <v>51</v>
      </c>
      <c r="M2" s="17" t="s">
        <v>52</v>
      </c>
      <c r="N2" s="17" t="s">
        <v>235</v>
      </c>
    </row>
    <row r="3" spans="1:14" ht="56" x14ac:dyDescent="0.3">
      <c r="A3" s="1" t="s">
        <v>233</v>
      </c>
      <c r="B3" s="21" t="s">
        <v>2</v>
      </c>
      <c r="C3" s="21" t="s">
        <v>241</v>
      </c>
      <c r="D3" s="21" t="s">
        <v>4</v>
      </c>
      <c r="E3" s="21" t="s">
        <v>240</v>
      </c>
      <c r="F3" s="3" t="s">
        <v>234</v>
      </c>
      <c r="G3" s="3" t="s">
        <v>234</v>
      </c>
      <c r="H3" s="3" t="s">
        <v>234</v>
      </c>
      <c r="I3" s="3" t="s">
        <v>234</v>
      </c>
      <c r="J3" s="3" t="s">
        <v>234</v>
      </c>
      <c r="K3" s="3" t="s">
        <v>234</v>
      </c>
      <c r="L3" s="3" t="s">
        <v>234</v>
      </c>
      <c r="M3" s="3" t="s">
        <v>234</v>
      </c>
      <c r="N3" s="3" t="s">
        <v>234</v>
      </c>
    </row>
    <row r="4" spans="1:14" x14ac:dyDescent="0.3">
      <c r="A4" t="s">
        <v>53</v>
      </c>
      <c r="B4" s="18">
        <v>227924.34913240999</v>
      </c>
      <c r="C4" s="18">
        <v>4.5584869826482001E-2</v>
      </c>
      <c r="D4" s="18">
        <v>71462.816453106905</v>
      </c>
      <c r="E4" s="18">
        <v>7054.5923518720092</v>
      </c>
      <c r="F4" s="4">
        <v>0.197144047696034</v>
      </c>
      <c r="G4" s="4">
        <v>0.80149166059950594</v>
      </c>
      <c r="H4" s="4">
        <v>1.4176285546985259</v>
      </c>
      <c r="I4" s="4">
        <v>1.07001229662682</v>
      </c>
      <c r="J4" s="4">
        <v>0.197144047696034</v>
      </c>
      <c r="K4" s="4">
        <v>0.15761135081003738</v>
      </c>
      <c r="L4" s="4">
        <v>0.15761135081003738</v>
      </c>
      <c r="M4" s="4">
        <v>0.21751919357833602</v>
      </c>
      <c r="N4" s="4">
        <v>0.21751919357833602</v>
      </c>
    </row>
    <row r="5" spans="1:14" x14ac:dyDescent="0.3">
      <c r="A5" t="s">
        <v>54</v>
      </c>
      <c r="B5" s="18">
        <v>161093.148200264</v>
      </c>
      <c r="C5" s="18">
        <v>3.2218629640052801E-2</v>
      </c>
      <c r="D5" s="18">
        <v>42574.630175442602</v>
      </c>
      <c r="E5" s="18">
        <v>5946.4303084858866</v>
      </c>
      <c r="F5" s="4">
        <v>0.12544721699395181</v>
      </c>
      <c r="G5" s="4">
        <v>8.2565383598785402E-2</v>
      </c>
      <c r="H5" s="4">
        <v>0.21015061749682398</v>
      </c>
      <c r="I5" s="4">
        <v>0.19859409569364539</v>
      </c>
      <c r="J5" s="4">
        <v>0.21015061749682398</v>
      </c>
      <c r="K5" s="4">
        <v>0.15482882726874339</v>
      </c>
      <c r="L5" s="4">
        <v>0.12544721699395181</v>
      </c>
      <c r="M5" s="4">
        <v>0.11481321992839801</v>
      </c>
      <c r="N5" s="4">
        <v>0.11481321992839801</v>
      </c>
    </row>
    <row r="6" spans="1:14" x14ac:dyDescent="0.3">
      <c r="A6" t="s">
        <v>55</v>
      </c>
      <c r="B6" s="18">
        <v>871492.82131861302</v>
      </c>
      <c r="C6" s="18">
        <v>0.17429856426372262</v>
      </c>
      <c r="D6" s="18">
        <v>269999.14022924303</v>
      </c>
      <c r="E6" s="18">
        <v>6970.775325453872</v>
      </c>
      <c r="F6" s="4">
        <v>1.3263547296137201</v>
      </c>
      <c r="G6" s="4">
        <v>1.5332001259961041</v>
      </c>
      <c r="H6" s="4">
        <v>4.3139602157807202</v>
      </c>
      <c r="I6" s="4">
        <v>2.97408755960176</v>
      </c>
      <c r="J6" s="4">
        <v>7.3909798801557605</v>
      </c>
      <c r="K6" s="4">
        <v>0.43758812971620803</v>
      </c>
      <c r="L6" s="4">
        <v>0.595931723541688</v>
      </c>
      <c r="M6" s="4">
        <v>0.595931723541688</v>
      </c>
      <c r="N6" s="4">
        <v>7.3909798801557605</v>
      </c>
    </row>
    <row r="7" spans="1:14" x14ac:dyDescent="0.3">
      <c r="A7" t="s">
        <v>56</v>
      </c>
      <c r="B7" s="18">
        <v>0</v>
      </c>
      <c r="C7" s="18">
        <v>0</v>
      </c>
      <c r="D7" s="18">
        <v>0</v>
      </c>
      <c r="E7" s="18"/>
      <c r="F7" s="4">
        <v>7.5990482500076198E-4</v>
      </c>
      <c r="G7" s="4">
        <v>3.9433045806884598E-5</v>
      </c>
      <c r="H7" s="4">
        <v>8.457482840137481E-3</v>
      </c>
      <c r="I7" s="4">
        <v>5.8195543733406E-3</v>
      </c>
      <c r="J7" s="4"/>
      <c r="K7" s="4"/>
      <c r="L7" s="4"/>
      <c r="M7" s="4"/>
      <c r="N7" s="4"/>
    </row>
    <row r="8" spans="1:14" x14ac:dyDescent="0.3">
      <c r="A8" t="s">
        <v>57</v>
      </c>
      <c r="B8" s="18">
        <v>63024.826899295796</v>
      </c>
      <c r="C8" s="18">
        <v>1.2604965379859159E-2</v>
      </c>
      <c r="D8" s="18">
        <v>19113.829441214199</v>
      </c>
      <c r="E8" s="18">
        <v>6823.6785975547791</v>
      </c>
      <c r="F8" s="4">
        <v>0.62727450410034002</v>
      </c>
      <c r="G8" s="4">
        <v>0.68173446198040399</v>
      </c>
      <c r="H8" s="4">
        <v>0.92439182512547391</v>
      </c>
      <c r="I8" s="4">
        <v>1.5375890219386499</v>
      </c>
      <c r="J8" s="4">
        <v>1.357481122227802</v>
      </c>
      <c r="K8" s="4">
        <v>3.99849153260394E-2</v>
      </c>
      <c r="L8" s="4">
        <v>0.207633834920046</v>
      </c>
      <c r="M8" s="4">
        <v>0.207633834920046</v>
      </c>
      <c r="N8" s="4">
        <v>0.207633834920046</v>
      </c>
    </row>
    <row r="9" spans="1:14" x14ac:dyDescent="0.3">
      <c r="A9" t="s">
        <v>58</v>
      </c>
      <c r="B9" s="18">
        <v>1275502.7188732901</v>
      </c>
      <c r="C9" s="18">
        <v>0.25510054377465802</v>
      </c>
      <c r="D9" s="18">
        <v>402671.80355887703</v>
      </c>
      <c r="E9" s="18">
        <v>7103.1722990586377</v>
      </c>
      <c r="F9" s="4">
        <v>3.0702801140418599</v>
      </c>
      <c r="G9" s="4">
        <v>2.25627362644672</v>
      </c>
      <c r="H9" s="4">
        <v>7.3074891667421591</v>
      </c>
      <c r="I9" s="4">
        <v>5.0410394865799804</v>
      </c>
      <c r="J9" s="4">
        <v>2.25627362644672</v>
      </c>
      <c r="K9" s="4">
        <v>3.6410543075497395</v>
      </c>
      <c r="L9" s="4">
        <v>3.0702801140418599</v>
      </c>
      <c r="M9" s="4">
        <v>3.6410543075497395</v>
      </c>
      <c r="N9" s="4">
        <v>3.6410543075497395</v>
      </c>
    </row>
    <row r="10" spans="1:14" x14ac:dyDescent="0.3">
      <c r="A10" t="s">
        <v>59</v>
      </c>
      <c r="B10" s="18">
        <v>254066.97727929399</v>
      </c>
      <c r="C10" s="18">
        <v>5.0813395455858799E-2</v>
      </c>
      <c r="D10" s="18">
        <v>71842.309987458895</v>
      </c>
      <c r="E10" s="18">
        <v>6362.3064753546123</v>
      </c>
      <c r="F10" s="4">
        <v>0.1248048978491592</v>
      </c>
      <c r="G10" s="4">
        <v>0.11934030310499179</v>
      </c>
      <c r="H10" s="4">
        <v>0.34533356403836801</v>
      </c>
      <c r="I10" s="4">
        <v>0.18758373636441819</v>
      </c>
      <c r="J10" s="4">
        <v>0.1248048978491592</v>
      </c>
      <c r="K10" s="4">
        <v>0.73401053728098997</v>
      </c>
      <c r="L10" s="4">
        <v>0.1248048978491592</v>
      </c>
      <c r="M10" s="4">
        <v>0.1462149369752406</v>
      </c>
      <c r="N10" s="4">
        <v>0.1911941839537048</v>
      </c>
    </row>
    <row r="11" spans="1:14" x14ac:dyDescent="0.3">
      <c r="A11" t="s">
        <v>60</v>
      </c>
      <c r="B11" s="18">
        <v>29796910.751885802</v>
      </c>
      <c r="C11" s="18">
        <v>5.9593821503771602</v>
      </c>
      <c r="D11" s="18">
        <v>8165887.4669819102</v>
      </c>
      <c r="E11" s="18">
        <v>6166.1582818770848</v>
      </c>
      <c r="F11" s="4">
        <v>4.4683498806539399</v>
      </c>
      <c r="G11" s="4">
        <v>4.0753446219450602</v>
      </c>
      <c r="H11" s="4">
        <v>6.1257496323970599</v>
      </c>
      <c r="I11" s="4">
        <v>7.9483391264641199</v>
      </c>
      <c r="J11" s="4">
        <v>6.6595663107017797</v>
      </c>
      <c r="K11" s="4">
        <v>6.6595663107017797</v>
      </c>
      <c r="L11" s="4">
        <v>4.0753446219450602</v>
      </c>
      <c r="M11" s="4">
        <v>4.0753446219450602</v>
      </c>
      <c r="N11" s="4">
        <v>4.0753446219450602</v>
      </c>
    </row>
    <row r="12" spans="1:14" x14ac:dyDescent="0.3">
      <c r="A12" t="s">
        <v>61</v>
      </c>
      <c r="B12" s="18">
        <v>3869902.1581599098</v>
      </c>
      <c r="C12" s="18">
        <v>0.77398043163198194</v>
      </c>
      <c r="D12" s="18">
        <v>783331.50645721203</v>
      </c>
      <c r="E12" s="18">
        <v>4554.3680886412185</v>
      </c>
      <c r="F12" s="4">
        <v>0.46152802855356195</v>
      </c>
      <c r="G12" s="4">
        <v>0.232344147069282</v>
      </c>
      <c r="H12" s="4">
        <v>1.8254919010911741</v>
      </c>
      <c r="I12" s="4">
        <v>0.77923057266422002</v>
      </c>
      <c r="J12" s="4">
        <v>1.8254919010911741</v>
      </c>
      <c r="K12" s="4">
        <v>1.8254919010911741</v>
      </c>
      <c r="L12" s="4">
        <v>0.80704197813363598</v>
      </c>
      <c r="M12" s="4">
        <v>0.80704197813363598</v>
      </c>
      <c r="N12" s="4">
        <v>1.8254919010911741</v>
      </c>
    </row>
    <row r="13" spans="1:14" x14ac:dyDescent="0.3">
      <c r="A13" t="s">
        <v>62</v>
      </c>
      <c r="B13" s="18">
        <v>53369.227875236204</v>
      </c>
      <c r="C13" s="18">
        <v>1.067384557504724E-2</v>
      </c>
      <c r="D13" s="18">
        <v>13706.395339836499</v>
      </c>
      <c r="E13" s="18">
        <v>5778.4964749212486</v>
      </c>
      <c r="F13" s="4">
        <v>0.18793232113434299</v>
      </c>
      <c r="G13" s="4">
        <v>0.267355993570984</v>
      </c>
      <c r="H13" s="4">
        <v>1.1518113563018881</v>
      </c>
      <c r="I13" s="4">
        <v>0.41599855499683802</v>
      </c>
      <c r="J13" s="4">
        <v>0.18793232113434299</v>
      </c>
      <c r="K13" s="4">
        <v>0.28714265134278599</v>
      </c>
      <c r="L13" s="4">
        <v>0.18793232113434299</v>
      </c>
      <c r="M13" s="4">
        <v>0.18793232113434299</v>
      </c>
      <c r="N13" s="4">
        <v>0.18793232113434299</v>
      </c>
    </row>
    <row r="14" spans="1:14" x14ac:dyDescent="0.3">
      <c r="A14" t="s">
        <v>63</v>
      </c>
      <c r="B14" s="18">
        <v>265130.44494080299</v>
      </c>
      <c r="C14" s="18">
        <v>5.3026088988160601E-2</v>
      </c>
      <c r="D14" s="18">
        <v>72034.2676286715</v>
      </c>
      <c r="E14" s="18">
        <v>6113.1079156412479</v>
      </c>
      <c r="F14" s="4">
        <v>1.459665574125788</v>
      </c>
      <c r="G14" s="4">
        <v>5.3002870745936805</v>
      </c>
      <c r="H14" s="4">
        <v>3.34560382187524</v>
      </c>
      <c r="I14" s="4">
        <v>4.5274949522536598</v>
      </c>
      <c r="J14" s="4">
        <v>1.459665574125788</v>
      </c>
      <c r="K14" s="4">
        <v>0.1974615809229362</v>
      </c>
      <c r="L14" s="4">
        <v>0.1974615809229362</v>
      </c>
      <c r="M14" s="4">
        <v>0.1974615809229362</v>
      </c>
      <c r="N14" s="4">
        <v>0.1974615809229362</v>
      </c>
    </row>
    <row r="15" spans="1:14" x14ac:dyDescent="0.3">
      <c r="A15" t="s">
        <v>65</v>
      </c>
      <c r="B15" s="18">
        <v>110368.40663482901</v>
      </c>
      <c r="C15" s="18">
        <v>2.2073681326965803E-2</v>
      </c>
      <c r="D15" s="18">
        <v>19144.365073614001</v>
      </c>
      <c r="E15" s="18">
        <v>3902.8217158331581</v>
      </c>
      <c r="F15" s="4">
        <v>0.55633704330344202</v>
      </c>
      <c r="G15" s="4">
        <v>0.1434771380121326</v>
      </c>
      <c r="H15" s="4">
        <v>0.41663321443490398</v>
      </c>
      <c r="I15" s="4">
        <v>0.1021772794602918</v>
      </c>
      <c r="J15" s="4">
        <v>0.41663321443490398</v>
      </c>
      <c r="K15" s="4">
        <v>0.12069820945796719</v>
      </c>
      <c r="L15" s="4">
        <v>0.55633704330344202</v>
      </c>
      <c r="M15" s="4">
        <v>0.38182745476161001</v>
      </c>
      <c r="N15" s="4">
        <v>3.93518672124194E-2</v>
      </c>
    </row>
    <row r="16" spans="1:14" x14ac:dyDescent="0.3">
      <c r="A16" t="s">
        <v>66</v>
      </c>
      <c r="B16" s="18">
        <v>6179527.0998475496</v>
      </c>
      <c r="C16" s="18">
        <v>1.2359054199695099</v>
      </c>
      <c r="D16" s="18">
        <v>1135502.16565153</v>
      </c>
      <c r="E16" s="18">
        <v>4134.4261970773987</v>
      </c>
      <c r="F16" s="4">
        <v>1.4796768347109222</v>
      </c>
      <c r="G16" s="4">
        <v>0.59865244285217201</v>
      </c>
      <c r="H16" s="4">
        <v>1.32335839035324</v>
      </c>
      <c r="I16" s="4">
        <v>1.134100848236808</v>
      </c>
      <c r="J16" s="4">
        <v>1.32335839035324</v>
      </c>
      <c r="K16" s="4">
        <v>1.32335839035324</v>
      </c>
      <c r="L16" s="4">
        <v>1.7557660275685678</v>
      </c>
      <c r="M16" s="4">
        <v>1.32335839035324</v>
      </c>
      <c r="N16" s="4">
        <v>0.72401315658836196</v>
      </c>
    </row>
    <row r="17" spans="1:14" x14ac:dyDescent="0.3">
      <c r="A17" t="s">
        <v>67</v>
      </c>
      <c r="B17" s="18">
        <v>13564.2248169792</v>
      </c>
      <c r="C17" s="18">
        <v>2.7128449633958399E-3</v>
      </c>
      <c r="D17" s="18">
        <v>4031.7410994524598</v>
      </c>
      <c r="E17" s="18">
        <v>6687.7522277666512</v>
      </c>
      <c r="F17" s="4">
        <v>3.56312081054686E-3</v>
      </c>
      <c r="G17" s="4">
        <v>9.1760782324218602E-3</v>
      </c>
      <c r="H17" s="4">
        <v>1.083091431640624E-2</v>
      </c>
      <c r="I17" s="4">
        <v>8.78051690429686E-3</v>
      </c>
      <c r="J17" s="4">
        <v>9.1760782324218602E-3</v>
      </c>
      <c r="K17" s="4">
        <v>8.381280859375E-4</v>
      </c>
      <c r="L17" s="4">
        <v>1.1393068701171861E-3</v>
      </c>
      <c r="M17" s="4">
        <v>1.1393068701171861E-3</v>
      </c>
      <c r="N17" s="4">
        <v>7.1071855468749997E-4</v>
      </c>
    </row>
    <row r="18" spans="1:14" x14ac:dyDescent="0.3">
      <c r="A18" t="s">
        <v>69</v>
      </c>
      <c r="B18" s="18">
        <v>63278.0458785847</v>
      </c>
      <c r="C18" s="18">
        <v>1.2655609175716939E-2</v>
      </c>
      <c r="D18" s="18">
        <v>18299.8940472428</v>
      </c>
      <c r="E18" s="18">
        <v>6506.9584615967333</v>
      </c>
      <c r="F18" s="4">
        <v>0.40408783951960203</v>
      </c>
      <c r="G18" s="4">
        <v>0.55750724846845001</v>
      </c>
      <c r="H18" s="4">
        <v>0.75367727430237197</v>
      </c>
      <c r="I18" s="4">
        <v>0.70195668407522005</v>
      </c>
      <c r="J18" s="4">
        <v>0.537315664118724</v>
      </c>
      <c r="K18" s="4">
        <v>2.09377819274216E-2</v>
      </c>
      <c r="L18" s="4">
        <v>7.4245860408248598E-2</v>
      </c>
      <c r="M18" s="4">
        <v>7.4245860408248598E-2</v>
      </c>
      <c r="N18" s="4">
        <v>7.4245860408248598E-2</v>
      </c>
    </row>
    <row r="19" spans="1:14" x14ac:dyDescent="0.3">
      <c r="A19" t="s">
        <v>73</v>
      </c>
      <c r="B19" s="18">
        <v>0</v>
      </c>
      <c r="C19" s="18">
        <v>0</v>
      </c>
      <c r="D19" s="18">
        <v>0</v>
      </c>
      <c r="E19" s="18"/>
      <c r="F19" s="4">
        <v>3.5291927578615999E-3</v>
      </c>
      <c r="G19" s="4">
        <v>3.6152629745909999E-2</v>
      </c>
      <c r="H19" s="4">
        <v>4.7630256805016799E-2</v>
      </c>
      <c r="I19" s="4">
        <v>9.8239610495421806E-2</v>
      </c>
      <c r="J19" s="4"/>
      <c r="K19" s="4"/>
      <c r="L19" s="4"/>
      <c r="M19" s="4"/>
      <c r="N19" s="4"/>
    </row>
    <row r="20" spans="1:14" x14ac:dyDescent="0.3">
      <c r="A20" t="s">
        <v>68</v>
      </c>
      <c r="B20" s="18">
        <v>91957.981102281905</v>
      </c>
      <c r="C20" s="18">
        <v>1.8391596220456382E-2</v>
      </c>
      <c r="D20" s="18">
        <v>32114.234734108799</v>
      </c>
      <c r="E20" s="18">
        <v>7857.6135845539739</v>
      </c>
      <c r="F20" s="4">
        <v>0.31746888738967399</v>
      </c>
      <c r="G20" s="4">
        <v>0.79100366658439003</v>
      </c>
      <c r="H20" s="4">
        <v>1.059534689550782</v>
      </c>
      <c r="I20" s="4">
        <v>1.1000889024704079</v>
      </c>
      <c r="J20" s="4">
        <v>0.79100366658439003</v>
      </c>
      <c r="K20" s="4">
        <v>0.58234496321218998</v>
      </c>
      <c r="L20" s="4">
        <v>0.26636761229379802</v>
      </c>
      <c r="M20" s="4">
        <v>0.58234496321218998</v>
      </c>
      <c r="N20" s="4">
        <v>20.741097808165602</v>
      </c>
    </row>
    <row r="21" spans="1:14" x14ac:dyDescent="0.3">
      <c r="A21" t="s">
        <v>70</v>
      </c>
      <c r="B21" s="18">
        <v>15029.3292890954</v>
      </c>
      <c r="C21" s="18">
        <v>3.00586585781908E-3</v>
      </c>
      <c r="D21" s="18">
        <v>3697.14735772513</v>
      </c>
      <c r="E21" s="18">
        <v>5534.8987269293038</v>
      </c>
      <c r="F21" s="4">
        <v>8.7055146885709603E-2</v>
      </c>
      <c r="G21" s="4">
        <v>7.3131220839023403E-2</v>
      </c>
      <c r="H21" s="4">
        <v>0.34219179384540999</v>
      </c>
      <c r="I21" s="4">
        <v>9.7626140557780197E-2</v>
      </c>
      <c r="J21" s="4">
        <v>0.34219179384540999</v>
      </c>
      <c r="K21" s="4">
        <v>0.26647320530018204</v>
      </c>
      <c r="L21" s="4">
        <v>8.7055146885709603E-2</v>
      </c>
      <c r="M21" s="4">
        <v>8.7055146885709603E-2</v>
      </c>
      <c r="N21" s="4">
        <v>8.7055146885709603E-2</v>
      </c>
    </row>
    <row r="22" spans="1:14" x14ac:dyDescent="0.3">
      <c r="A22" t="s">
        <v>71</v>
      </c>
      <c r="B22" s="18">
        <v>119418.791867347</v>
      </c>
      <c r="C22" s="18">
        <v>2.3883758373469399E-2</v>
      </c>
      <c r="D22" s="18">
        <v>39516.154640011999</v>
      </c>
      <c r="E22" s="18">
        <v>7445.3397618351091</v>
      </c>
      <c r="F22" s="4">
        <v>8.5034684109377798E-2</v>
      </c>
      <c r="G22" s="4">
        <v>0.1055166535309338</v>
      </c>
      <c r="H22" s="4">
        <v>0.34017012175623401</v>
      </c>
      <c r="I22" s="4">
        <v>0.43909070635014402</v>
      </c>
      <c r="J22" s="4">
        <v>8.1886750730112604E-2</v>
      </c>
      <c r="K22" s="4">
        <v>8.1886750730112604E-2</v>
      </c>
      <c r="L22" s="4">
        <v>6.0855831516198999E-2</v>
      </c>
      <c r="M22" s="4">
        <v>0.18936331591047761</v>
      </c>
      <c r="N22" s="4">
        <v>4.38545851233684E-2</v>
      </c>
    </row>
    <row r="23" spans="1:14" x14ac:dyDescent="0.3">
      <c r="A23" t="s">
        <v>72</v>
      </c>
      <c r="B23" s="18">
        <v>29982681.8366521</v>
      </c>
      <c r="C23" s="18">
        <v>5.9965363673304202</v>
      </c>
      <c r="D23" s="18">
        <v>9095681.91955713</v>
      </c>
      <c r="E23" s="18">
        <v>6825.7017269168737</v>
      </c>
      <c r="F23" s="4">
        <v>10.8775160757094</v>
      </c>
      <c r="G23" s="4">
        <v>15.30081451533936</v>
      </c>
      <c r="H23" s="4">
        <v>15.552124198617559</v>
      </c>
      <c r="I23" s="4">
        <v>46.806346565887203</v>
      </c>
      <c r="J23" s="4">
        <v>15.30081451533936</v>
      </c>
      <c r="K23" s="4">
        <v>6.7934202716621597</v>
      </c>
      <c r="L23" s="4">
        <v>10.8775160757094</v>
      </c>
      <c r="M23" s="4">
        <v>6.7934202716621597</v>
      </c>
      <c r="N23" s="4">
        <v>6.7934202716621597</v>
      </c>
    </row>
    <row r="24" spans="1:14" x14ac:dyDescent="0.3">
      <c r="A24" t="s">
        <v>76</v>
      </c>
      <c r="B24" s="18">
        <v>8478.37337100492</v>
      </c>
      <c r="C24" s="18">
        <v>1.695674674200984E-3</v>
      </c>
      <c r="D24" s="18">
        <v>2515.4083383021598</v>
      </c>
      <c r="E24" s="18">
        <v>6675.4181651580566</v>
      </c>
      <c r="F24" s="4">
        <v>7.1314803811693597E-2</v>
      </c>
      <c r="G24" s="4">
        <v>8.5749361719828207E-2</v>
      </c>
      <c r="H24" s="4">
        <v>9.7204720871897202E-2</v>
      </c>
      <c r="I24" s="4">
        <v>0.31561439109690997</v>
      </c>
      <c r="J24" s="4"/>
      <c r="K24" s="4">
        <v>2.3162310847277597E-2</v>
      </c>
      <c r="L24" s="4">
        <v>8.5749361719828207E-2</v>
      </c>
      <c r="M24" s="4">
        <v>3.2266350949592397E-2</v>
      </c>
      <c r="N24" s="4">
        <v>1.7427873047180159E-2</v>
      </c>
    </row>
    <row r="25" spans="1:14" x14ac:dyDescent="0.3">
      <c r="A25" t="s">
        <v>74</v>
      </c>
      <c r="B25" s="18">
        <v>1925383.3747676201</v>
      </c>
      <c r="C25" s="18">
        <v>0.38507667495352405</v>
      </c>
      <c r="D25" s="18">
        <v>462614.77590340999</v>
      </c>
      <c r="E25" s="18">
        <v>5406.1090348217003</v>
      </c>
      <c r="F25" s="4">
        <v>0.264537168454898</v>
      </c>
      <c r="G25" s="4">
        <v>0.33738418738249598</v>
      </c>
      <c r="H25" s="4">
        <v>1.63902383447011</v>
      </c>
      <c r="I25" s="4">
        <v>0.43185500391822801</v>
      </c>
      <c r="J25" s="4">
        <v>1.63902383447011</v>
      </c>
      <c r="K25" s="4">
        <v>0.64612379887195392</v>
      </c>
      <c r="L25" s="4">
        <v>0.264537168454898</v>
      </c>
      <c r="M25" s="4">
        <v>0.264537168454898</v>
      </c>
      <c r="N25" s="4">
        <v>0.41031504655048201</v>
      </c>
    </row>
    <row r="26" spans="1:14" x14ac:dyDescent="0.3">
      <c r="A26" t="s">
        <v>75</v>
      </c>
      <c r="B26" s="18">
        <v>151987.224900292</v>
      </c>
      <c r="C26" s="18">
        <v>3.0397444980058402E-2</v>
      </c>
      <c r="D26" s="18">
        <v>54411.1377182918</v>
      </c>
      <c r="E26" s="18">
        <v>8054.9572469969708</v>
      </c>
      <c r="F26" s="4">
        <v>0.32643560535789595</v>
      </c>
      <c r="G26" s="4">
        <v>0.35986364948336597</v>
      </c>
      <c r="H26" s="4">
        <v>0.396993324208888</v>
      </c>
      <c r="I26" s="4">
        <v>0.41422731871617802</v>
      </c>
      <c r="J26" s="4">
        <v>1.8302278431786139</v>
      </c>
      <c r="K26" s="4">
        <v>7.87686472994506E-3</v>
      </c>
      <c r="L26" s="4">
        <v>0.1612644187026544</v>
      </c>
      <c r="M26" s="4">
        <v>0.1100551361641306</v>
      </c>
      <c r="N26" s="4">
        <v>0.1100551361641306</v>
      </c>
    </row>
    <row r="27" spans="1:14" x14ac:dyDescent="0.3">
      <c r="A27" t="s">
        <v>86</v>
      </c>
      <c r="B27" s="18">
        <v>0</v>
      </c>
      <c r="C27" s="18">
        <v>0</v>
      </c>
      <c r="D27" s="18">
        <v>0</v>
      </c>
      <c r="E27" s="18"/>
      <c r="F27" s="4">
        <v>1.2380984821708201E-2</v>
      </c>
      <c r="G27" s="4">
        <v>0.10535100378747581</v>
      </c>
      <c r="H27" s="4">
        <v>0.12516250772472021</v>
      </c>
      <c r="I27" s="4">
        <v>0.21037985713260202</v>
      </c>
      <c r="J27" s="4"/>
      <c r="K27" s="4"/>
      <c r="L27" s="4"/>
      <c r="M27" s="4"/>
      <c r="N27" s="4"/>
    </row>
    <row r="28" spans="1:14" x14ac:dyDescent="0.3">
      <c r="A28" t="s">
        <v>77</v>
      </c>
      <c r="B28" s="18">
        <v>22695.1053257036</v>
      </c>
      <c r="C28" s="18">
        <v>4.5390210651407199E-3</v>
      </c>
      <c r="D28" s="18">
        <v>6793.3609537082402</v>
      </c>
      <c r="E28" s="18">
        <v>6734.9597750190969</v>
      </c>
      <c r="F28" s="4">
        <v>0.36789378143869</v>
      </c>
      <c r="G28" s="4">
        <v>1.216874763056516</v>
      </c>
      <c r="H28" s="4">
        <v>1.3630977733201699</v>
      </c>
      <c r="I28" s="4">
        <v>0.62514500906616399</v>
      </c>
      <c r="J28" s="4">
        <v>0.36789378143869</v>
      </c>
      <c r="K28" s="4">
        <v>0.1741395513805544</v>
      </c>
      <c r="L28" s="4">
        <v>0.10232223948759181</v>
      </c>
      <c r="M28" s="4">
        <v>0.10232223948759181</v>
      </c>
      <c r="N28" s="4">
        <v>0.10232223948759181</v>
      </c>
    </row>
    <row r="29" spans="1:14" x14ac:dyDescent="0.3">
      <c r="A29" t="s">
        <v>81</v>
      </c>
      <c r="B29" s="18">
        <v>46721.802792405397</v>
      </c>
      <c r="C29" s="18">
        <v>9.3443605584810786E-3</v>
      </c>
      <c r="D29" s="18">
        <v>12497.5008000741</v>
      </c>
      <c r="E29" s="18">
        <v>6018.4699903612272</v>
      </c>
      <c r="F29" s="4">
        <v>0.30099536162914803</v>
      </c>
      <c r="G29" s="4">
        <v>0.67205733445768401</v>
      </c>
      <c r="H29" s="4">
        <v>0.99986361828309389</v>
      </c>
      <c r="I29" s="4">
        <v>1.412531072717204</v>
      </c>
      <c r="J29" s="4">
        <v>1.2618529151826321</v>
      </c>
      <c r="K29" s="4">
        <v>2.7388217545388401E-2</v>
      </c>
      <c r="L29" s="4">
        <v>0.1505181253254062</v>
      </c>
      <c r="M29" s="4">
        <v>0.1505181253254062</v>
      </c>
      <c r="N29" s="4">
        <v>0.1505181253254062</v>
      </c>
    </row>
    <row r="30" spans="1:14" x14ac:dyDescent="0.3">
      <c r="A30" t="s">
        <v>78</v>
      </c>
      <c r="B30" s="18">
        <v>4818938.8124697302</v>
      </c>
      <c r="C30" s="18">
        <v>0.96378776249394604</v>
      </c>
      <c r="D30" s="18">
        <v>1093750.1475261999</v>
      </c>
      <c r="E30" s="18">
        <v>5106.8044806169819</v>
      </c>
      <c r="F30" s="4">
        <v>1.8241516557188759</v>
      </c>
      <c r="G30" s="4">
        <v>1.7343368532637458</v>
      </c>
      <c r="H30" s="4">
        <v>6.3708610017599394</v>
      </c>
      <c r="I30" s="4">
        <v>1.9603040890505261</v>
      </c>
      <c r="J30" s="4">
        <v>1.7343368532637458</v>
      </c>
      <c r="K30" s="4">
        <v>1.7343368532637458</v>
      </c>
      <c r="L30" s="4">
        <v>2.48120459128508</v>
      </c>
      <c r="M30" s="4">
        <v>2.48120459128508</v>
      </c>
      <c r="N30" s="4">
        <v>2.48120459128508</v>
      </c>
    </row>
    <row r="31" spans="1:14" x14ac:dyDescent="0.3">
      <c r="A31" t="s">
        <v>84</v>
      </c>
      <c r="B31" s="18">
        <v>0</v>
      </c>
      <c r="C31" s="18">
        <v>0</v>
      </c>
      <c r="D31" s="18">
        <v>0</v>
      </c>
      <c r="E31" s="18"/>
      <c r="F31" s="4">
        <v>9.9572151428947403E-2</v>
      </c>
      <c r="G31" s="4">
        <v>8.45181824201202E-2</v>
      </c>
      <c r="H31" s="4">
        <v>0.27557671545370399</v>
      </c>
      <c r="I31" s="4">
        <v>0.207136094163208</v>
      </c>
      <c r="J31" s="4">
        <v>0.27557671545370399</v>
      </c>
      <c r="K31" s="4">
        <v>0.25536734567823799</v>
      </c>
      <c r="L31" s="4"/>
      <c r="M31" s="4"/>
      <c r="N31" s="4"/>
    </row>
    <row r="32" spans="1:14" x14ac:dyDescent="0.3">
      <c r="A32" t="s">
        <v>87</v>
      </c>
      <c r="B32" s="18">
        <v>96799.814840924693</v>
      </c>
      <c r="C32" s="18">
        <v>1.935996296818494E-2</v>
      </c>
      <c r="D32" s="18">
        <v>24865.1165141889</v>
      </c>
      <c r="E32" s="18">
        <v>5779.6094185577049</v>
      </c>
      <c r="F32" s="4">
        <v>0.27072321943840399</v>
      </c>
      <c r="G32" s="4">
        <v>0.25541472587602998</v>
      </c>
      <c r="H32" s="4">
        <v>0.79784028705349397</v>
      </c>
      <c r="I32" s="4">
        <v>0.38573474434438998</v>
      </c>
      <c r="J32" s="4">
        <v>0.27072321943840399</v>
      </c>
      <c r="K32" s="4">
        <v>9.5609967608880991E-2</v>
      </c>
      <c r="L32" s="4"/>
      <c r="M32" s="4"/>
      <c r="N32" s="4"/>
    </row>
    <row r="33" spans="1:14" x14ac:dyDescent="0.3">
      <c r="A33" t="s">
        <v>89</v>
      </c>
      <c r="B33" s="18">
        <v>12566.089717066199</v>
      </c>
      <c r="C33" s="18">
        <v>2.5132179434132398E-3</v>
      </c>
      <c r="D33" s="18">
        <v>4117.98289879393</v>
      </c>
      <c r="E33" s="18">
        <v>7373.384824479469</v>
      </c>
      <c r="F33" s="4">
        <v>8.9748811761773406E-2</v>
      </c>
      <c r="G33" s="4">
        <v>0.1359551062713632</v>
      </c>
      <c r="H33" s="4">
        <v>0.390135737907786</v>
      </c>
      <c r="I33" s="4">
        <v>0.20998722875074399</v>
      </c>
      <c r="J33" s="4">
        <v>0.40256122251267201</v>
      </c>
      <c r="K33" s="4">
        <v>1.205595667886584E-3</v>
      </c>
      <c r="L33" s="4">
        <v>4.9812812393390603E-2</v>
      </c>
      <c r="M33" s="4">
        <v>3.95727554171348E-2</v>
      </c>
      <c r="N33" s="4">
        <v>3.95727554171348E-2</v>
      </c>
    </row>
    <row r="34" spans="1:14" x14ac:dyDescent="0.3">
      <c r="A34" t="s">
        <v>91</v>
      </c>
      <c r="B34" s="18">
        <v>64678.390710938198</v>
      </c>
      <c r="C34" s="18">
        <v>1.2935678142187639E-2</v>
      </c>
      <c r="D34" s="18">
        <v>23776.882040221699</v>
      </c>
      <c r="E34" s="18">
        <v>8271.3846158592551</v>
      </c>
      <c r="F34" s="4">
        <v>0.12356416118978659</v>
      </c>
      <c r="G34" s="4">
        <v>0.23971974389735198</v>
      </c>
      <c r="H34" s="4">
        <v>0.48031890048923997</v>
      </c>
      <c r="I34" s="4">
        <v>0.30375446980307802</v>
      </c>
      <c r="J34" s="4">
        <v>2.0624595752116401</v>
      </c>
      <c r="K34" s="4">
        <v>9.1927902437667006E-3</v>
      </c>
      <c r="L34" s="4">
        <v>7.6144154468430605E-2</v>
      </c>
      <c r="M34" s="4">
        <v>8.1888502725561599E-2</v>
      </c>
      <c r="N34" s="4">
        <v>8.1888502725561599E-2</v>
      </c>
    </row>
    <row r="35" spans="1:14" x14ac:dyDescent="0.3">
      <c r="A35" t="s">
        <v>79</v>
      </c>
      <c r="B35" s="18">
        <v>598501.908278157</v>
      </c>
      <c r="C35" s="18">
        <v>0.1197003816556314</v>
      </c>
      <c r="D35" s="18">
        <v>205298.36520677101</v>
      </c>
      <c r="E35" s="18">
        <v>7717.9590461815924</v>
      </c>
      <c r="F35" s="4">
        <v>0.62214144072714406</v>
      </c>
      <c r="G35" s="4">
        <v>0.93186436014331808</v>
      </c>
      <c r="H35" s="4">
        <v>2.64264388744246</v>
      </c>
      <c r="I35" s="4">
        <v>0.786763346753106</v>
      </c>
      <c r="J35" s="4">
        <v>0.93186436014331808</v>
      </c>
      <c r="K35" s="4">
        <v>1.5291613650788221</v>
      </c>
      <c r="L35" s="4">
        <v>0.62214144072714406</v>
      </c>
      <c r="M35" s="4">
        <v>1.5291613650788221</v>
      </c>
      <c r="N35" s="4">
        <v>0.22762640511871199</v>
      </c>
    </row>
    <row r="36" spans="1:14" x14ac:dyDescent="0.3">
      <c r="A36" t="s">
        <v>80</v>
      </c>
      <c r="B36" s="18">
        <v>320593385.94935</v>
      </c>
      <c r="C36" s="18">
        <v>64.118677189869999</v>
      </c>
      <c r="D36" s="18">
        <v>77207203.574635401</v>
      </c>
      <c r="E36" s="18">
        <v>5418.5836532003432</v>
      </c>
      <c r="F36" s="4">
        <v>68.64877579850139</v>
      </c>
      <c r="G36" s="4">
        <v>96.428638088289404</v>
      </c>
      <c r="H36" s="4">
        <v>176.23428459718281</v>
      </c>
      <c r="I36" s="4">
        <v>127.973780351702</v>
      </c>
      <c r="J36" s="4">
        <v>68.64877579850139</v>
      </c>
      <c r="K36" s="4">
        <v>68.64877579850139</v>
      </c>
      <c r="L36" s="4">
        <v>68.64877579850139</v>
      </c>
      <c r="M36" s="4">
        <v>68.64877579850139</v>
      </c>
      <c r="N36" s="4">
        <v>68.64877579850139</v>
      </c>
    </row>
    <row r="37" spans="1:14" x14ac:dyDescent="0.3">
      <c r="A37" t="s">
        <v>82</v>
      </c>
      <c r="B37" s="18">
        <v>829120.44520112104</v>
      </c>
      <c r="C37" s="18">
        <v>0.16582408904022422</v>
      </c>
      <c r="D37" s="18">
        <v>247096.489464132</v>
      </c>
      <c r="E37" s="18">
        <v>6705.5046647587506</v>
      </c>
      <c r="F37" s="4">
        <v>1.019021969748684</v>
      </c>
      <c r="G37" s="4">
        <v>2.6601798183754002</v>
      </c>
      <c r="H37" s="4">
        <v>4.0731119453064801</v>
      </c>
      <c r="I37" s="4">
        <v>4.1957469837275196</v>
      </c>
      <c r="J37" s="4">
        <v>2.6601798183754002</v>
      </c>
      <c r="K37" s="4">
        <v>1.3605398512619802</v>
      </c>
      <c r="L37" s="4">
        <v>0.77861530807478208</v>
      </c>
      <c r="M37" s="4">
        <v>0.77861530807478208</v>
      </c>
      <c r="N37" s="4">
        <v>3.3192677205729599</v>
      </c>
    </row>
    <row r="38" spans="1:14" x14ac:dyDescent="0.3">
      <c r="A38" t="s">
        <v>96</v>
      </c>
      <c r="B38" s="18">
        <v>19430.8729056343</v>
      </c>
      <c r="C38" s="18">
        <v>3.8861745811268598E-3</v>
      </c>
      <c r="D38" s="18">
        <v>5449.3696021559499</v>
      </c>
      <c r="E38" s="18">
        <v>6310.1033414178655</v>
      </c>
      <c r="F38" s="4">
        <v>0.23334964206712799</v>
      </c>
      <c r="G38" s="4">
        <v>0.327302946490934</v>
      </c>
      <c r="H38" s="4">
        <v>0.46386070891777603</v>
      </c>
      <c r="I38" s="4">
        <v>1.2942385738945781</v>
      </c>
      <c r="J38" s="4">
        <v>0.27768584144592801</v>
      </c>
      <c r="K38" s="4">
        <v>1.1089690866202741E-2</v>
      </c>
      <c r="L38" s="4">
        <v>0.12301632993405419</v>
      </c>
      <c r="M38" s="4">
        <v>0.12301632993405419</v>
      </c>
      <c r="N38" s="4">
        <v>0.12301632993405419</v>
      </c>
    </row>
    <row r="39" spans="1:14" x14ac:dyDescent="0.3">
      <c r="A39" t="s">
        <v>98</v>
      </c>
      <c r="B39" s="18">
        <v>78224.499467211601</v>
      </c>
      <c r="C39" s="18">
        <v>1.564489989344232E-2</v>
      </c>
      <c r="D39" s="18">
        <v>25526.626013148802</v>
      </c>
      <c r="E39" s="18">
        <v>7342.3171667156639</v>
      </c>
      <c r="F39" s="4">
        <v>0.48884136216499002</v>
      </c>
      <c r="G39" s="4">
        <v>1.7640957969829398</v>
      </c>
      <c r="H39" s="4">
        <v>2.3204749026698401</v>
      </c>
      <c r="I39" s="4">
        <v>3.6596600192774802</v>
      </c>
      <c r="J39" s="4">
        <v>2.33054135271004</v>
      </c>
      <c r="K39" s="4">
        <v>1.465263944628074E-2</v>
      </c>
      <c r="L39" s="4">
        <v>0.47336202364241797</v>
      </c>
      <c r="M39" s="4">
        <v>0.376025219356458</v>
      </c>
      <c r="N39" s="4">
        <v>0.376025219356458</v>
      </c>
    </row>
    <row r="40" spans="1:14" x14ac:dyDescent="0.3">
      <c r="A40" t="s">
        <v>83</v>
      </c>
      <c r="B40" s="18">
        <v>386589.15387638903</v>
      </c>
      <c r="C40" s="18">
        <v>7.7317830775277804E-2</v>
      </c>
      <c r="D40" s="18">
        <v>106109.077473393</v>
      </c>
      <c r="E40" s="18">
        <v>6175.6886327822986</v>
      </c>
      <c r="F40" s="4">
        <v>0.19890533920162198</v>
      </c>
      <c r="G40" s="4">
        <v>0.1864111545106506</v>
      </c>
      <c r="H40" s="4">
        <v>0.32594012566459596</v>
      </c>
      <c r="I40" s="4">
        <v>0.45059661702369602</v>
      </c>
      <c r="J40" s="4">
        <v>0.1864111545106506</v>
      </c>
      <c r="K40" s="4">
        <v>8.0409044364376001E-2</v>
      </c>
      <c r="L40" s="4">
        <v>0.19890533920162198</v>
      </c>
      <c r="M40" s="4">
        <v>0.25908550475700198</v>
      </c>
      <c r="N40" s="4">
        <v>0.25908550475700198</v>
      </c>
    </row>
    <row r="41" spans="1:14" x14ac:dyDescent="0.3">
      <c r="A41" t="s">
        <v>101</v>
      </c>
      <c r="B41" s="18">
        <v>92700.496654382805</v>
      </c>
      <c r="C41" s="18">
        <v>1.854009933087656E-2</v>
      </c>
      <c r="D41" s="18">
        <v>27024.786073260901</v>
      </c>
      <c r="E41" s="18">
        <v>6559.3789525789098</v>
      </c>
      <c r="F41" s="4">
        <v>0.50419582618604797</v>
      </c>
      <c r="G41" s="4">
        <v>1.8908865153214298</v>
      </c>
      <c r="H41" s="4">
        <v>2.2054361496109003</v>
      </c>
      <c r="I41" s="4">
        <v>1.9854744620511919</v>
      </c>
      <c r="J41" s="4">
        <v>1.452646509483134</v>
      </c>
      <c r="K41" s="4">
        <v>6.4414080433598406E-2</v>
      </c>
      <c r="L41" s="4">
        <v>0.20474673840636598</v>
      </c>
      <c r="M41" s="4">
        <v>0.20474673840636598</v>
      </c>
      <c r="N41" s="4">
        <v>0.20474673840636598</v>
      </c>
    </row>
    <row r="42" spans="1:14" x14ac:dyDescent="0.3">
      <c r="A42" t="s">
        <v>85</v>
      </c>
      <c r="B42" s="18">
        <v>584377.43401938805</v>
      </c>
      <c r="C42" s="18">
        <v>0.1168754868038776</v>
      </c>
      <c r="D42" s="18">
        <v>129971.693025225</v>
      </c>
      <c r="E42" s="18">
        <v>5004.2368558854041</v>
      </c>
      <c r="F42" s="4">
        <v>0.199572165982666</v>
      </c>
      <c r="G42" s="4">
        <v>0.16293556532161699</v>
      </c>
      <c r="H42" s="4">
        <v>0.49360028713867998</v>
      </c>
      <c r="I42" s="4">
        <v>0.14583086217454899</v>
      </c>
      <c r="J42" s="4">
        <v>0.49360028713867998</v>
      </c>
      <c r="K42" s="4">
        <v>0.61634566976479999</v>
      </c>
      <c r="L42" s="4">
        <v>0.219131534831848</v>
      </c>
      <c r="M42" s="4">
        <v>0.219131534831848</v>
      </c>
      <c r="N42" s="4">
        <v>0.58261472848930196</v>
      </c>
    </row>
    <row r="43" spans="1:14" x14ac:dyDescent="0.3">
      <c r="A43" t="s">
        <v>104</v>
      </c>
      <c r="B43" s="18">
        <v>124124.380154226</v>
      </c>
      <c r="C43" s="18">
        <v>2.4824876030845201E-2</v>
      </c>
      <c r="D43" s="18">
        <v>39819.920187190197</v>
      </c>
      <c r="E43" s="18">
        <v>7218.1484660672877</v>
      </c>
      <c r="F43" s="4">
        <v>0.44046452672484598</v>
      </c>
      <c r="G43" s="4">
        <v>0.69972690149130001</v>
      </c>
      <c r="H43" s="4">
        <v>0.87230570081495795</v>
      </c>
      <c r="I43" s="4">
        <v>0.51425967053559407</v>
      </c>
      <c r="J43" s="4">
        <v>0.69972690149130001</v>
      </c>
      <c r="K43" s="4">
        <v>7.6734699856700603E-2</v>
      </c>
      <c r="L43" s="4"/>
      <c r="M43" s="4"/>
      <c r="N43" s="4"/>
    </row>
    <row r="44" spans="1:14" x14ac:dyDescent="0.3">
      <c r="A44" t="s">
        <v>88</v>
      </c>
      <c r="B44" s="18">
        <v>300169.43906855898</v>
      </c>
      <c r="C44" s="18">
        <v>6.0033887813711793E-2</v>
      </c>
      <c r="D44" s="18">
        <v>95010.551627917506</v>
      </c>
      <c r="E44" s="18">
        <v>7121.7690190635385</v>
      </c>
      <c r="F44" s="4">
        <v>0.17505158841843602</v>
      </c>
      <c r="G44" s="4">
        <v>0.15887654738712781</v>
      </c>
      <c r="H44" s="4">
        <v>0.27507687487967802</v>
      </c>
      <c r="I44" s="4">
        <v>7.7848162863769402E-2</v>
      </c>
      <c r="J44" s="4">
        <v>0.17505158841843602</v>
      </c>
      <c r="K44" s="4">
        <v>0.18055130882690421</v>
      </c>
      <c r="L44" s="4">
        <v>0.15887654738712781</v>
      </c>
      <c r="M44" s="4">
        <v>0.1235564784800768</v>
      </c>
      <c r="N44" s="4">
        <v>0.220630967711644</v>
      </c>
    </row>
    <row r="45" spans="1:14" x14ac:dyDescent="0.3">
      <c r="A45" t="s">
        <v>90</v>
      </c>
      <c r="B45" s="18">
        <v>1432213.31134534</v>
      </c>
      <c r="C45" s="18">
        <v>0.286442662269068</v>
      </c>
      <c r="D45" s="18">
        <v>270349.09070483001</v>
      </c>
      <c r="E45" s="18">
        <v>4247.1707899047433</v>
      </c>
      <c r="F45" s="4">
        <v>0.42310876583877999</v>
      </c>
      <c r="G45" s="4">
        <v>0.15824114130798342</v>
      </c>
      <c r="H45" s="4">
        <v>1.4484538121902599</v>
      </c>
      <c r="I45" s="4">
        <v>0.45773919477707797</v>
      </c>
      <c r="J45" s="4">
        <v>1.4484538121902599</v>
      </c>
      <c r="K45" s="4">
        <v>0.315362630732482</v>
      </c>
      <c r="L45" s="4">
        <v>0.70293529925858</v>
      </c>
      <c r="M45" s="4">
        <v>0.70293529925858</v>
      </c>
      <c r="N45" s="4">
        <v>2.2500954966455602</v>
      </c>
    </row>
    <row r="46" spans="1:14" x14ac:dyDescent="0.3">
      <c r="A46" t="s">
        <v>92</v>
      </c>
      <c r="B46" s="18">
        <v>530008.64637599501</v>
      </c>
      <c r="C46" s="18">
        <v>0.10600172927519901</v>
      </c>
      <c r="D46" s="18">
        <v>93470.4058317132</v>
      </c>
      <c r="E46" s="18">
        <v>3968.0185325157731</v>
      </c>
      <c r="F46" s="4">
        <v>0.42905220984124598</v>
      </c>
      <c r="G46" s="4">
        <v>0.16698284325205801</v>
      </c>
      <c r="H46" s="4">
        <v>0.31481505610148397</v>
      </c>
      <c r="I46" s="4">
        <v>0.16129164560792439</v>
      </c>
      <c r="J46" s="4">
        <v>0.31481505610148397</v>
      </c>
      <c r="K46" s="4">
        <v>0.19048272024928081</v>
      </c>
      <c r="L46" s="4">
        <v>0.44729843151741799</v>
      </c>
      <c r="M46" s="4">
        <v>0.31481505610148397</v>
      </c>
      <c r="N46" s="4">
        <v>0.31481505610148397</v>
      </c>
    </row>
    <row r="47" spans="1:14" x14ac:dyDescent="0.3">
      <c r="A47" t="s">
        <v>93</v>
      </c>
      <c r="B47" s="18">
        <v>0</v>
      </c>
      <c r="C47" s="18">
        <v>0</v>
      </c>
      <c r="D47" s="18">
        <v>0</v>
      </c>
      <c r="E47" s="18"/>
      <c r="F47" s="4">
        <v>2.4291920024452202E-2</v>
      </c>
      <c r="G47" s="4">
        <v>3.0917960223054798E-2</v>
      </c>
      <c r="H47" s="4">
        <v>5.1589090066519197E-2</v>
      </c>
      <c r="I47" s="4">
        <v>2.86955842953204E-2</v>
      </c>
      <c r="J47" s="4">
        <v>2.4769601345816003E-2</v>
      </c>
      <c r="K47" s="4">
        <v>6.6438744749741209E-3</v>
      </c>
      <c r="L47" s="4"/>
      <c r="M47" s="4"/>
      <c r="N47" s="4"/>
    </row>
    <row r="48" spans="1:14" x14ac:dyDescent="0.3">
      <c r="A48" t="s">
        <v>94</v>
      </c>
      <c r="B48" s="18">
        <v>1405285.94216153</v>
      </c>
      <c r="C48" s="18">
        <v>0.28105718843230598</v>
      </c>
      <c r="D48" s="18">
        <v>447136.94292326597</v>
      </c>
      <c r="E48" s="18">
        <v>7159.0990231488959</v>
      </c>
      <c r="F48" s="4">
        <v>0.67682269346408197</v>
      </c>
      <c r="G48" s="4">
        <v>0.76545164591885195</v>
      </c>
      <c r="H48" s="4">
        <v>1.0033180783442579</v>
      </c>
      <c r="I48" s="4">
        <v>0.78173181363004207</v>
      </c>
      <c r="J48" s="4">
        <v>0.76545164591885195</v>
      </c>
      <c r="K48" s="4">
        <v>0.31931366109633602</v>
      </c>
      <c r="L48" s="4">
        <v>0.67682269346408197</v>
      </c>
      <c r="M48" s="4">
        <v>0.53043981971907406</v>
      </c>
      <c r="N48" s="4">
        <v>0.53043981971907406</v>
      </c>
    </row>
    <row r="49" spans="1:14" x14ac:dyDescent="0.3">
      <c r="A49" t="s">
        <v>118</v>
      </c>
      <c r="B49" s="18">
        <v>0</v>
      </c>
      <c r="C49" s="18">
        <v>0</v>
      </c>
      <c r="D49" s="18">
        <v>0</v>
      </c>
      <c r="E49" s="18"/>
      <c r="F49" s="4">
        <v>4.9238226462774197E-2</v>
      </c>
      <c r="G49" s="4">
        <v>3.35985578231906E-2</v>
      </c>
      <c r="H49" s="4">
        <v>3.8359153097076402E-2</v>
      </c>
      <c r="I49" s="4">
        <v>3.2272582089996199E-2</v>
      </c>
      <c r="J49" s="4"/>
      <c r="K49" s="4"/>
      <c r="L49" s="4"/>
      <c r="M49" s="4"/>
      <c r="N49" s="4"/>
    </row>
    <row r="50" spans="1:14" x14ac:dyDescent="0.3">
      <c r="A50" t="s">
        <v>95</v>
      </c>
      <c r="B50" s="18">
        <v>145794.39874499899</v>
      </c>
      <c r="C50" s="18">
        <v>2.9158879748999798E-2</v>
      </c>
      <c r="D50" s="18">
        <v>36832.983011966397</v>
      </c>
      <c r="E50" s="18">
        <v>5684.3206934084719</v>
      </c>
      <c r="F50" s="4">
        <v>0.284295010342004</v>
      </c>
      <c r="G50" s="4">
        <v>1.065069391363106</v>
      </c>
      <c r="H50" s="4">
        <v>1.1467876888850519</v>
      </c>
      <c r="I50" s="4">
        <v>2.2308585850724598</v>
      </c>
      <c r="J50" s="4">
        <v>1.065069391363106</v>
      </c>
      <c r="K50" s="4">
        <v>0.39830276385840802</v>
      </c>
      <c r="L50" s="4">
        <v>0.332209620067834</v>
      </c>
      <c r="M50" s="4">
        <v>0.57223527094460802</v>
      </c>
      <c r="N50" s="4">
        <v>0.90512608014317397</v>
      </c>
    </row>
    <row r="51" spans="1:14" x14ac:dyDescent="0.3">
      <c r="A51" t="s">
        <v>97</v>
      </c>
      <c r="B51" s="18">
        <v>1393971.84958245</v>
      </c>
      <c r="C51" s="18">
        <v>0.27879436991648998</v>
      </c>
      <c r="D51" s="18">
        <v>476530.531497941</v>
      </c>
      <c r="E51" s="18">
        <v>7691.6452523164789</v>
      </c>
      <c r="F51" s="4">
        <v>3.7389036183719799</v>
      </c>
      <c r="G51" s="4">
        <v>3.4627337708169996</v>
      </c>
      <c r="H51" s="4">
        <v>7.0096032595564797</v>
      </c>
      <c r="I51" s="4">
        <v>8.5905951764050208</v>
      </c>
      <c r="J51" s="4">
        <v>19.8378747216587</v>
      </c>
      <c r="K51" s="4">
        <v>0.61312132281008802</v>
      </c>
      <c r="L51" s="4">
        <v>1.0669682468503481</v>
      </c>
      <c r="M51" s="4">
        <v>6.3297793842827197</v>
      </c>
      <c r="N51" s="4">
        <v>19.8378747216587</v>
      </c>
    </row>
    <row r="52" spans="1:14" x14ac:dyDescent="0.3">
      <c r="A52" t="s">
        <v>99</v>
      </c>
      <c r="B52" s="18">
        <v>301488.36951238802</v>
      </c>
      <c r="C52" s="18">
        <v>6.0297673902477603E-2</v>
      </c>
      <c r="D52" s="18">
        <v>95904.414481601707</v>
      </c>
      <c r="E52" s="18">
        <v>7157.3219535003436</v>
      </c>
      <c r="F52" s="4">
        <v>0.22961933824661201</v>
      </c>
      <c r="G52" s="4">
        <v>0.22499216685561998</v>
      </c>
      <c r="H52" s="4">
        <v>0.29426245544204599</v>
      </c>
      <c r="I52" s="4">
        <v>0.32690751589126399</v>
      </c>
      <c r="J52" s="4">
        <v>0.22499216685561998</v>
      </c>
      <c r="K52" s="4">
        <v>7.7116639519190192E-2</v>
      </c>
      <c r="L52" s="4">
        <v>0.1642282948896788</v>
      </c>
      <c r="M52" s="4">
        <v>0.1642282948896788</v>
      </c>
      <c r="N52" s="4">
        <v>0.20676307370376401</v>
      </c>
    </row>
    <row r="53" spans="1:14" x14ac:dyDescent="0.3">
      <c r="A53" t="s">
        <v>116</v>
      </c>
      <c r="B53" s="18">
        <v>631.19567598868196</v>
      </c>
      <c r="C53" s="18">
        <v>1.2623913519773638E-4</v>
      </c>
      <c r="D53" s="18">
        <v>177.37776449484301</v>
      </c>
      <c r="E53" s="18">
        <v>6322.9199009999729</v>
      </c>
      <c r="F53" s="4">
        <v>3.8111383816985998E-2</v>
      </c>
      <c r="G53" s="4">
        <v>3.3890425108735397E-2</v>
      </c>
      <c r="H53" s="4">
        <v>9.2361419389645996E-2</v>
      </c>
      <c r="I53" s="4">
        <v>0.15895739939321502</v>
      </c>
      <c r="J53" s="4"/>
      <c r="K53" s="4">
        <v>3.6779613251685999E-4</v>
      </c>
      <c r="L53" s="4">
        <v>1.151540999460934E-2</v>
      </c>
      <c r="M53" s="4">
        <v>1.151540999460934E-2</v>
      </c>
      <c r="N53" s="4">
        <v>3.4346141383831401E-2</v>
      </c>
    </row>
    <row r="54" spans="1:14" x14ac:dyDescent="0.3">
      <c r="A54" t="s">
        <v>114</v>
      </c>
      <c r="B54" s="18">
        <v>0</v>
      </c>
      <c r="C54" s="18">
        <v>0</v>
      </c>
      <c r="D54" s="18">
        <v>0</v>
      </c>
      <c r="E54" s="18"/>
      <c r="F54" s="4">
        <v>1.0832578006601919E-2</v>
      </c>
      <c r="G54" s="4">
        <v>4.6111501478018603E-2</v>
      </c>
      <c r="H54" s="4">
        <v>0.1015744684378664</v>
      </c>
      <c r="I54" s="4">
        <v>6.3434006615895003E-2</v>
      </c>
      <c r="J54" s="4">
        <v>1.17814381232982</v>
      </c>
      <c r="K54" s="4">
        <v>3.1707296534031599E-4</v>
      </c>
      <c r="L54" s="4"/>
      <c r="M54" s="4"/>
      <c r="N54" s="4"/>
    </row>
    <row r="55" spans="1:14" x14ac:dyDescent="0.3">
      <c r="A55" t="s">
        <v>100</v>
      </c>
      <c r="B55" s="18">
        <v>87613.953998356505</v>
      </c>
      <c r="C55" s="18">
        <v>1.7522790799671301E-2</v>
      </c>
      <c r="D55" s="18">
        <v>14285.4591040016</v>
      </c>
      <c r="E55" s="18">
        <v>3668.6260027262942</v>
      </c>
      <c r="F55" s="4">
        <v>6.2975628932948002E-2</v>
      </c>
      <c r="G55" s="4">
        <v>3.3356314382247801E-2</v>
      </c>
      <c r="H55" s="4">
        <v>5.1935191501212001E-2</v>
      </c>
      <c r="I55" s="4">
        <v>1.7247032131051998E-2</v>
      </c>
      <c r="J55" s="4">
        <v>5.1935191501212001E-2</v>
      </c>
      <c r="K55" s="4">
        <v>1.3930966730084419E-2</v>
      </c>
      <c r="L55" s="4">
        <v>8.6843075111231807E-2</v>
      </c>
      <c r="M55" s="4">
        <v>8.6843075111231807E-2</v>
      </c>
      <c r="N55" s="4">
        <v>2.0159188691101001E-2</v>
      </c>
    </row>
    <row r="56" spans="1:14" x14ac:dyDescent="0.3">
      <c r="A56" t="s">
        <v>102</v>
      </c>
      <c r="B56" s="18">
        <v>79581.277658353996</v>
      </c>
      <c r="C56" s="18">
        <v>1.5916255531670798E-2</v>
      </c>
      <c r="D56" s="18">
        <v>27166.324511754399</v>
      </c>
      <c r="E56" s="18">
        <v>7680.7299342260458</v>
      </c>
      <c r="F56" s="4">
        <v>0.1711951870954396</v>
      </c>
      <c r="G56" s="4">
        <v>1.020655699999804</v>
      </c>
      <c r="H56" s="4">
        <v>1.666768760690744</v>
      </c>
      <c r="I56" s="4">
        <v>1.8377127751990401</v>
      </c>
      <c r="J56" s="4">
        <v>1.5126480860035461</v>
      </c>
      <c r="K56" s="4">
        <v>4.7423382476787797E-2</v>
      </c>
      <c r="L56" s="4">
        <v>0.16373443252984321</v>
      </c>
      <c r="M56" s="4">
        <v>0.23411047256097597</v>
      </c>
      <c r="N56" s="4">
        <v>0.23411047256097597</v>
      </c>
    </row>
    <row r="57" spans="1:14" x14ac:dyDescent="0.3">
      <c r="A57" t="s">
        <v>130</v>
      </c>
      <c r="B57" s="18">
        <v>0</v>
      </c>
      <c r="C57" s="18">
        <v>0</v>
      </c>
      <c r="D57" s="18">
        <v>0</v>
      </c>
      <c r="E57" s="18"/>
      <c r="F57" s="4">
        <v>1.1536623611169439E-2</v>
      </c>
      <c r="G57" s="4">
        <v>0</v>
      </c>
      <c r="H57" s="4">
        <v>8.1109934112316203E-3</v>
      </c>
      <c r="I57" s="4">
        <v>1.079960609078406E-3</v>
      </c>
      <c r="J57" s="4"/>
      <c r="K57" s="4"/>
      <c r="L57" s="4"/>
      <c r="M57" s="4"/>
      <c r="N57" s="4"/>
    </row>
    <row r="58" spans="1:14" x14ac:dyDescent="0.3">
      <c r="A58" t="s">
        <v>133</v>
      </c>
      <c r="B58" s="18">
        <v>0</v>
      </c>
      <c r="C58" s="18">
        <v>0</v>
      </c>
      <c r="D58" s="18">
        <v>0</v>
      </c>
      <c r="E58" s="18"/>
      <c r="F58" s="4">
        <v>2.05962845898436E-2</v>
      </c>
      <c r="G58" s="4">
        <v>6.4536717792968601E-2</v>
      </c>
      <c r="H58" s="4">
        <v>4.6084864277343596E-2</v>
      </c>
      <c r="I58" s="4">
        <v>1.945638224609374E-2</v>
      </c>
      <c r="J58" s="4"/>
      <c r="K58" s="4"/>
      <c r="L58" s="4"/>
      <c r="M58" s="4"/>
      <c r="N58" s="4"/>
    </row>
    <row r="59" spans="1:14" x14ac:dyDescent="0.3">
      <c r="A59" t="s">
        <v>103</v>
      </c>
      <c r="B59" s="18">
        <v>223967.917275549</v>
      </c>
      <c r="C59" s="18">
        <v>4.4793583455109802E-2</v>
      </c>
      <c r="D59" s="18">
        <v>34958.908123908099</v>
      </c>
      <c r="E59" s="18">
        <v>3512.0004791588249</v>
      </c>
      <c r="F59" s="4">
        <v>0.63059746657486404</v>
      </c>
      <c r="G59" s="4">
        <v>9.3330662500114403E-2</v>
      </c>
      <c r="H59" s="4">
        <v>0.210201038064986</v>
      </c>
      <c r="I59" s="4">
        <v>6.2143652719966601E-2</v>
      </c>
      <c r="J59" s="4">
        <v>0.210201038064986</v>
      </c>
      <c r="K59" s="4">
        <v>0.1089559914600312</v>
      </c>
      <c r="L59" s="4">
        <v>0.26881589263829198</v>
      </c>
      <c r="M59" s="4">
        <v>0.210201038064986</v>
      </c>
      <c r="N59" s="4">
        <v>0.1089559914600312</v>
      </c>
    </row>
    <row r="60" spans="1:14" x14ac:dyDescent="0.3">
      <c r="A60" t="s">
        <v>105</v>
      </c>
      <c r="B60" s="18">
        <v>12674959.740440501</v>
      </c>
      <c r="C60" s="18">
        <v>2.5349919480881002</v>
      </c>
      <c r="D60" s="18">
        <v>2911848.7837276901</v>
      </c>
      <c r="E60" s="18">
        <v>5168.9787561878347</v>
      </c>
      <c r="F60" s="4">
        <v>3.1528445903973399</v>
      </c>
      <c r="G60" s="4">
        <v>2.8153183667630399</v>
      </c>
      <c r="H60" s="4">
        <v>7.7611052858152005</v>
      </c>
      <c r="I60" s="4">
        <v>2.9892960810913802</v>
      </c>
      <c r="J60" s="4">
        <v>7.7611052858152005</v>
      </c>
      <c r="K60" s="4">
        <v>7.7611052858152005</v>
      </c>
      <c r="L60" s="4">
        <v>4.42169568062402</v>
      </c>
      <c r="M60" s="4">
        <v>4.42169568062402</v>
      </c>
      <c r="N60" s="4">
        <v>4.42169568062402</v>
      </c>
    </row>
    <row r="61" spans="1:14" x14ac:dyDescent="0.3">
      <c r="A61" t="s">
        <v>122</v>
      </c>
      <c r="B61" s="18">
        <v>21439.620930708199</v>
      </c>
      <c r="C61" s="18">
        <v>4.2879241861416397E-3</v>
      </c>
      <c r="D61" s="18">
        <v>5839.9558964253201</v>
      </c>
      <c r="E61" s="18">
        <v>6128.7934191674767</v>
      </c>
      <c r="F61" s="4">
        <v>2.5744614409179602E-2</v>
      </c>
      <c r="G61" s="4">
        <v>3.4910996875661002E-2</v>
      </c>
      <c r="H61" s="4">
        <v>2.3092408816921602E-2</v>
      </c>
      <c r="I61" s="4">
        <v>0.21656991269597201</v>
      </c>
      <c r="J61" s="4">
        <v>3.4910996875661002E-2</v>
      </c>
      <c r="K61" s="4">
        <v>5.3580385481458801E-3</v>
      </c>
      <c r="L61" s="4"/>
      <c r="M61" s="4"/>
      <c r="N61" s="4"/>
    </row>
    <row r="62" spans="1:14" x14ac:dyDescent="0.3">
      <c r="A62" t="s">
        <v>124</v>
      </c>
      <c r="B62" s="18">
        <v>9025.2192066923999</v>
      </c>
      <c r="C62" s="18">
        <v>1.8050438413384799E-3</v>
      </c>
      <c r="D62" s="18">
        <v>2341.9746387120399</v>
      </c>
      <c r="E62" s="18">
        <v>5838.5761236632134</v>
      </c>
      <c r="F62" s="4">
        <v>5.9684026530704995E-2</v>
      </c>
      <c r="G62" s="4">
        <v>0.17912970970288181</v>
      </c>
      <c r="H62" s="4">
        <v>0.203985508472208</v>
      </c>
      <c r="I62" s="4">
        <v>0.71344973885882801</v>
      </c>
      <c r="J62" s="4">
        <v>7.6408452316562001E-2</v>
      </c>
      <c r="K62" s="4">
        <v>2.88245190611436E-3</v>
      </c>
      <c r="L62" s="4">
        <v>5.9684026530704995E-2</v>
      </c>
      <c r="M62" s="4">
        <v>5.9684026530704995E-2</v>
      </c>
      <c r="N62" s="4">
        <v>7.6408452316562001E-2</v>
      </c>
    </row>
    <row r="63" spans="1:14" x14ac:dyDescent="0.3">
      <c r="A63" t="s">
        <v>142</v>
      </c>
      <c r="B63" s="18">
        <v>0</v>
      </c>
      <c r="C63" s="18">
        <v>0</v>
      </c>
      <c r="D63" s="18">
        <v>0</v>
      </c>
      <c r="E63" s="18"/>
      <c r="F63" s="4">
        <v>5.8250925770740397E-2</v>
      </c>
      <c r="G63" s="4">
        <v>7.0117116385118805E-2</v>
      </c>
      <c r="H63" s="4">
        <v>0.11522702507652519</v>
      </c>
      <c r="I63" s="4">
        <v>6.3225573861675197E-2</v>
      </c>
      <c r="J63" s="4"/>
      <c r="K63" s="4"/>
      <c r="L63" s="4"/>
      <c r="M63" s="4"/>
      <c r="N63" s="4"/>
    </row>
    <row r="64" spans="1:14" x14ac:dyDescent="0.3">
      <c r="A64" t="s">
        <v>126</v>
      </c>
      <c r="B64" s="18">
        <v>186305.64666521401</v>
      </c>
      <c r="C64" s="18">
        <v>3.7261129333042799E-2</v>
      </c>
      <c r="D64" s="18">
        <v>45772.970334687103</v>
      </c>
      <c r="E64" s="18">
        <v>5527.9689637166302</v>
      </c>
      <c r="F64" s="4">
        <v>9.4663257851867605E-2</v>
      </c>
      <c r="G64" s="4">
        <v>0.1709170627768086</v>
      </c>
      <c r="H64" s="4">
        <v>0.45151556930107994</v>
      </c>
      <c r="I64" s="4">
        <v>0.17281143874776361</v>
      </c>
      <c r="J64" s="4">
        <v>9.4663257851867605E-2</v>
      </c>
      <c r="K64" s="4">
        <v>0.26356319389167598</v>
      </c>
      <c r="L64" s="4">
        <v>9.4663257851867605E-2</v>
      </c>
      <c r="M64" s="4">
        <v>9.4663257851867605E-2</v>
      </c>
      <c r="N64" s="4">
        <v>0.34581534588929003</v>
      </c>
    </row>
    <row r="65" spans="1:14" x14ac:dyDescent="0.3">
      <c r="A65" t="s">
        <v>106</v>
      </c>
      <c r="B65" s="18">
        <v>42050532.012425102</v>
      </c>
      <c r="C65" s="18">
        <v>8.4101064024850203</v>
      </c>
      <c r="D65" s="18">
        <v>7916170.9908261402</v>
      </c>
      <c r="E65" s="18">
        <v>4235.7097227915938</v>
      </c>
      <c r="F65" s="4">
        <v>6.58066139790356</v>
      </c>
      <c r="G65" s="4">
        <v>2.7268313056992604</v>
      </c>
      <c r="H65" s="4">
        <v>8.6508108909934407</v>
      </c>
      <c r="I65" s="4">
        <v>8.1688032330330991</v>
      </c>
      <c r="J65" s="4">
        <v>8.6508108909934407</v>
      </c>
      <c r="K65" s="4">
        <v>8.6508108909934407</v>
      </c>
      <c r="L65" s="4">
        <v>9.1844420453529398</v>
      </c>
      <c r="M65" s="4">
        <v>8.6508108909934407</v>
      </c>
      <c r="N65" s="4">
        <v>8.6508108909934407</v>
      </c>
    </row>
    <row r="66" spans="1:14" x14ac:dyDescent="0.3">
      <c r="A66" t="s">
        <v>107</v>
      </c>
      <c r="B66" s="18">
        <v>377415.24133488699</v>
      </c>
      <c r="C66" s="18">
        <v>7.5483048266977396E-2</v>
      </c>
      <c r="D66" s="18">
        <v>114972.053880051</v>
      </c>
      <c r="E66" s="18">
        <v>6854.1779159516564</v>
      </c>
      <c r="F66" s="4">
        <v>1.3822524454121521</v>
      </c>
      <c r="G66" s="4">
        <v>2.2928403938595201</v>
      </c>
      <c r="H66" s="4">
        <v>2.39422079067496</v>
      </c>
      <c r="I66" s="4">
        <v>2.6481852350305597</v>
      </c>
      <c r="J66" s="4">
        <v>1.616004038600162</v>
      </c>
      <c r="K66" s="4">
        <v>0.15363198861960078</v>
      </c>
      <c r="L66" s="4">
        <v>0.31501288781382197</v>
      </c>
      <c r="M66" s="4">
        <v>0.31501288781382197</v>
      </c>
      <c r="N66" s="4">
        <v>0.31501288781382197</v>
      </c>
    </row>
    <row r="67" spans="1:14" x14ac:dyDescent="0.3">
      <c r="A67" t="s">
        <v>131</v>
      </c>
      <c r="B67" s="18">
        <v>6433.5811729717798</v>
      </c>
      <c r="C67" s="18">
        <v>1.2867162345943559E-3</v>
      </c>
      <c r="D67" s="18">
        <v>1958.9264732274901</v>
      </c>
      <c r="E67" s="18">
        <v>6850.9037909999897</v>
      </c>
      <c r="F67" s="4">
        <v>8.2306267578124998E-3</v>
      </c>
      <c r="G67" s="4">
        <v>5.1469514648437402E-3</v>
      </c>
      <c r="H67" s="4">
        <v>1.8503323632812499E-2</v>
      </c>
      <c r="I67" s="4">
        <v>5.9923027343749997E-3</v>
      </c>
      <c r="J67" s="4">
        <v>1.8503323632812499E-2</v>
      </c>
      <c r="K67" s="4">
        <v>4.4810095703124997E-3</v>
      </c>
      <c r="L67" s="4"/>
      <c r="M67" s="4"/>
      <c r="N67" s="4"/>
    </row>
    <row r="68" spans="1:14" x14ac:dyDescent="0.3">
      <c r="A68" t="s">
        <v>108</v>
      </c>
      <c r="B68" s="18">
        <v>2898350.4398681102</v>
      </c>
      <c r="C68" s="18">
        <v>0.57967008797362207</v>
      </c>
      <c r="D68" s="18">
        <v>777968.26528313698</v>
      </c>
      <c r="E68" s="18">
        <v>6039.3959709258334</v>
      </c>
      <c r="F68" s="4">
        <v>0.90954327474828789</v>
      </c>
      <c r="G68" s="4">
        <v>0.58433088478402007</v>
      </c>
      <c r="H68" s="4">
        <v>1.7808535427697159</v>
      </c>
      <c r="I68" s="4">
        <v>0.68987101340711399</v>
      </c>
      <c r="J68" s="4">
        <v>1.7808535427697159</v>
      </c>
      <c r="K68" s="4">
        <v>0.95386984497614391</v>
      </c>
      <c r="L68" s="4">
        <v>0.90954327474828789</v>
      </c>
      <c r="M68" s="4">
        <v>0.71613196223433795</v>
      </c>
      <c r="N68" s="4">
        <v>0.71613196223433795</v>
      </c>
    </row>
    <row r="69" spans="1:14" x14ac:dyDescent="0.3">
      <c r="A69" t="s">
        <v>135</v>
      </c>
      <c r="B69" s="18">
        <v>60962.010648230404</v>
      </c>
      <c r="C69" s="18">
        <v>1.219240212964608E-2</v>
      </c>
      <c r="D69" s="18">
        <v>21157.065430090999</v>
      </c>
      <c r="E69" s="18">
        <v>7808.698681608621</v>
      </c>
      <c r="F69" s="4">
        <v>5.4190758617677005E-2</v>
      </c>
      <c r="G69" s="4">
        <v>1.22800843797779E-2</v>
      </c>
      <c r="H69" s="4">
        <v>5.7990280525735405E-2</v>
      </c>
      <c r="I69" s="4">
        <v>5.0988511076326203E-2</v>
      </c>
      <c r="J69" s="4">
        <v>1.22800843797779E-2</v>
      </c>
      <c r="K69" s="4">
        <v>7.3341763480513399E-3</v>
      </c>
      <c r="L69" s="4"/>
      <c r="M69" s="4"/>
      <c r="N69" s="4"/>
    </row>
    <row r="70" spans="1:14" x14ac:dyDescent="0.3">
      <c r="A70" t="s">
        <v>109</v>
      </c>
      <c r="B70" s="18">
        <v>219070.07644648699</v>
      </c>
      <c r="C70" s="18">
        <v>4.3814015289297396E-2</v>
      </c>
      <c r="D70" s="18">
        <v>68095.782611970906</v>
      </c>
      <c r="E70" s="18">
        <v>6993.9041133425189</v>
      </c>
      <c r="F70" s="4">
        <v>0.21329588686906797</v>
      </c>
      <c r="G70" s="4">
        <v>0.43968506263221596</v>
      </c>
      <c r="H70" s="4">
        <v>0.68745140096371393</v>
      </c>
      <c r="I70" s="4">
        <v>0.593722772499372</v>
      </c>
      <c r="J70" s="4">
        <v>0.43968506263221596</v>
      </c>
      <c r="K70" s="4">
        <v>8.027329267439659E-2</v>
      </c>
      <c r="L70" s="4">
        <v>0.11614957958089821</v>
      </c>
      <c r="M70" s="4">
        <v>0.11614957958089821</v>
      </c>
      <c r="N70" s="4">
        <v>0.60017272840700997</v>
      </c>
    </row>
    <row r="71" spans="1:14" x14ac:dyDescent="0.3">
      <c r="A71" t="s">
        <v>143</v>
      </c>
      <c r="B71" s="18">
        <v>7014.5106122424404</v>
      </c>
      <c r="C71" s="18">
        <v>1.4029021224484881E-3</v>
      </c>
      <c r="D71" s="18">
        <v>2171.0032668467502</v>
      </c>
      <c r="E71" s="18">
        <v>6963.7892369566171</v>
      </c>
      <c r="F71" s="4">
        <v>0.1943029464507198</v>
      </c>
      <c r="G71" s="4">
        <v>0.34885630789104605</v>
      </c>
      <c r="H71" s="4">
        <v>0.44365156144366602</v>
      </c>
      <c r="I71" s="4">
        <v>0.54068417509734801</v>
      </c>
      <c r="J71" s="4"/>
      <c r="K71" s="4">
        <v>4.2632029126678399E-2</v>
      </c>
      <c r="L71" s="4">
        <v>6.4601728806966796E-2</v>
      </c>
      <c r="M71" s="4">
        <v>0.13174850261092139</v>
      </c>
      <c r="N71" s="4">
        <v>0.13174850261092139</v>
      </c>
    </row>
    <row r="72" spans="1:14" x14ac:dyDescent="0.3">
      <c r="A72" t="s">
        <v>145</v>
      </c>
      <c r="B72" s="18">
        <v>1889.0037294066601</v>
      </c>
      <c r="C72" s="18">
        <v>3.7780074588133203E-4</v>
      </c>
      <c r="D72" s="18">
        <v>612.63670716064905</v>
      </c>
      <c r="E72" s="18">
        <v>7297.1406549018775</v>
      </c>
      <c r="F72" s="4">
        <v>3.0416773950332397E-2</v>
      </c>
      <c r="G72" s="4">
        <v>3.4085031274119201E-2</v>
      </c>
      <c r="H72" s="4">
        <v>9.1168692699900397E-2</v>
      </c>
      <c r="I72" s="4">
        <v>3.4144885371806197E-2</v>
      </c>
      <c r="J72" s="4"/>
      <c r="K72" s="4">
        <v>1.214525971495806E-3</v>
      </c>
      <c r="L72" s="4">
        <v>1.6935711513562501E-2</v>
      </c>
      <c r="M72" s="4">
        <v>2.4495455267039199E-2</v>
      </c>
      <c r="N72" s="4">
        <v>2.4495455267039199E-2</v>
      </c>
    </row>
    <row r="73" spans="1:14" x14ac:dyDescent="0.3">
      <c r="A73" t="s">
        <v>138</v>
      </c>
      <c r="B73" s="18">
        <v>165.042897069997</v>
      </c>
      <c r="C73" s="18">
        <v>3.3008579413999398E-5</v>
      </c>
      <c r="D73" s="18">
        <v>48.152645396899999</v>
      </c>
      <c r="E73" s="18">
        <v>6564.5631570000269</v>
      </c>
      <c r="F73" s="4">
        <v>6.7421199124282002E-2</v>
      </c>
      <c r="G73" s="4">
        <v>8.0133943020387996E-2</v>
      </c>
      <c r="H73" s="4">
        <v>5.1159905416542403E-2</v>
      </c>
      <c r="I73" s="4">
        <v>0.33857283845404601</v>
      </c>
      <c r="J73" s="4">
        <v>8.0133943020387996E-2</v>
      </c>
      <c r="K73" s="4">
        <v>1.5870254521695517E-2</v>
      </c>
      <c r="L73" s="4">
        <v>6.7421199124282002E-2</v>
      </c>
      <c r="M73" s="4">
        <v>1.5870254521695517E-2</v>
      </c>
      <c r="N73" s="4">
        <v>1.5870254521695517E-2</v>
      </c>
    </row>
    <row r="74" spans="1:14" x14ac:dyDescent="0.3">
      <c r="A74" t="s">
        <v>140</v>
      </c>
      <c r="B74" s="18">
        <v>74157.227502306501</v>
      </c>
      <c r="C74" s="18">
        <v>1.48314455004613E-2</v>
      </c>
      <c r="D74" s="18">
        <v>25437.5575956867</v>
      </c>
      <c r="E74" s="18">
        <v>7717.9941211414507</v>
      </c>
      <c r="F74" s="4">
        <v>0.206608149070584</v>
      </c>
      <c r="G74" s="4">
        <v>0.36971533723835398</v>
      </c>
      <c r="H74" s="4">
        <v>0.56970930995707803</v>
      </c>
      <c r="I74" s="4">
        <v>0.42534513925411999</v>
      </c>
      <c r="J74" s="4">
        <v>0.36971533723835398</v>
      </c>
      <c r="K74" s="4">
        <v>0.1226224377680596</v>
      </c>
      <c r="L74" s="4">
        <v>5.4965229083485598E-2</v>
      </c>
      <c r="M74" s="4">
        <v>0.1110936653691556</v>
      </c>
      <c r="N74" s="4">
        <v>0.1110936653691556</v>
      </c>
    </row>
    <row r="75" spans="1:14" x14ac:dyDescent="0.3">
      <c r="A75" t="s">
        <v>110</v>
      </c>
      <c r="B75" s="18">
        <v>634911.08720417204</v>
      </c>
      <c r="C75" s="18">
        <v>0.12698221744083441</v>
      </c>
      <c r="D75" s="18">
        <v>195085.43767173699</v>
      </c>
      <c r="E75" s="18">
        <v>6913.4441594694508</v>
      </c>
      <c r="F75" s="4">
        <v>0.249592093733284</v>
      </c>
      <c r="G75" s="4">
        <v>0.37375622779225198</v>
      </c>
      <c r="H75" s="4">
        <v>0.45836132907418198</v>
      </c>
      <c r="I75" s="4">
        <v>0.37103980773010198</v>
      </c>
      <c r="J75" s="4">
        <v>0.37375622779225198</v>
      </c>
      <c r="K75" s="4">
        <v>0.11396903692986481</v>
      </c>
      <c r="L75" s="4">
        <v>0.12308746426648139</v>
      </c>
      <c r="M75" s="4">
        <v>0.12308746426648139</v>
      </c>
      <c r="N75" s="4">
        <v>0.12308746426648139</v>
      </c>
    </row>
    <row r="76" spans="1:14" x14ac:dyDescent="0.3">
      <c r="A76" t="s">
        <v>111</v>
      </c>
      <c r="B76" s="18">
        <v>2504904.72194352</v>
      </c>
      <c r="C76" s="18">
        <v>0.500980944388704</v>
      </c>
      <c r="D76" s="18">
        <v>532112.60993806797</v>
      </c>
      <c r="E76" s="18">
        <v>4779.6363744794298</v>
      </c>
      <c r="F76" s="4">
        <v>0.402869338254918</v>
      </c>
      <c r="G76" s="4">
        <v>0.30142986619248197</v>
      </c>
      <c r="H76" s="4">
        <v>2.5597119698853197</v>
      </c>
      <c r="I76" s="4">
        <v>0.44508185336261596</v>
      </c>
      <c r="J76" s="4">
        <v>2.5597119698853197</v>
      </c>
      <c r="K76" s="4">
        <v>0.78664315139509999</v>
      </c>
      <c r="L76" s="4">
        <v>0.724167367577772</v>
      </c>
      <c r="M76" s="4">
        <v>0.724167367577772</v>
      </c>
      <c r="N76" s="4">
        <v>0.53344349759773202</v>
      </c>
    </row>
    <row r="77" spans="1:14" x14ac:dyDescent="0.3">
      <c r="A77" t="s">
        <v>147</v>
      </c>
      <c r="B77" s="18">
        <v>8670.8111929876104</v>
      </c>
      <c r="C77" s="18">
        <v>1.734162238597522E-3</v>
      </c>
      <c r="D77" s="18">
        <v>1107.38269837859</v>
      </c>
      <c r="E77" s="18">
        <v>2873.5616724844394</v>
      </c>
      <c r="F77" s="4">
        <v>6.6139855989336789E-3</v>
      </c>
      <c r="G77" s="4">
        <v>3.9244529470062201E-3</v>
      </c>
      <c r="H77" s="4">
        <v>5.3945871357607804E-3</v>
      </c>
      <c r="I77" s="4">
        <v>2.9163397044253202E-3</v>
      </c>
      <c r="J77" s="4">
        <v>5.3945871357607804E-3</v>
      </c>
      <c r="K77" s="4">
        <v>2.10682437278746E-3</v>
      </c>
      <c r="L77" s="4">
        <v>4.31109416265106E-2</v>
      </c>
      <c r="M77" s="4">
        <v>4.31109416265106E-2</v>
      </c>
      <c r="N77" s="4">
        <v>5.4747191188931395E-3</v>
      </c>
    </row>
    <row r="78" spans="1:14" x14ac:dyDescent="0.3">
      <c r="A78" t="s">
        <v>112</v>
      </c>
      <c r="B78" s="18">
        <v>25099143.5871717</v>
      </c>
      <c r="C78" s="18">
        <v>5.0198287174343399</v>
      </c>
      <c r="D78" s="18">
        <v>7541510.71893878</v>
      </c>
      <c r="E78" s="18">
        <v>6760.5490437071694</v>
      </c>
      <c r="F78" s="4">
        <v>30.695008506427598</v>
      </c>
      <c r="G78" s="4">
        <v>57.503780455919802</v>
      </c>
      <c r="H78" s="4">
        <v>70.0085105847226</v>
      </c>
      <c r="I78" s="4">
        <v>70.780669377389998</v>
      </c>
      <c r="J78" s="4">
        <v>30.695008506427598</v>
      </c>
      <c r="K78" s="4">
        <v>5.5898330864247798</v>
      </c>
      <c r="L78" s="4">
        <v>5.5898330864247798</v>
      </c>
      <c r="M78" s="4">
        <v>5.5898330864247798</v>
      </c>
      <c r="N78" s="4">
        <v>5.5898330864247798</v>
      </c>
    </row>
    <row r="79" spans="1:14" x14ac:dyDescent="0.3">
      <c r="A79" t="s">
        <v>113</v>
      </c>
      <c r="B79" s="18">
        <v>2448268.4718273901</v>
      </c>
      <c r="C79" s="18">
        <v>0.48965369436547801</v>
      </c>
      <c r="D79" s="18">
        <v>724117.36417286994</v>
      </c>
      <c r="E79" s="18">
        <v>6654.76065283344</v>
      </c>
      <c r="F79" s="4">
        <v>10.934976814613339</v>
      </c>
      <c r="G79" s="4">
        <v>17.373156325625743</v>
      </c>
      <c r="H79" s="4">
        <v>17.605072264887461</v>
      </c>
      <c r="I79" s="4">
        <v>34.366430320633604</v>
      </c>
      <c r="J79" s="4">
        <v>10.934976814613339</v>
      </c>
      <c r="K79" s="4">
        <v>7.5868294736647801</v>
      </c>
      <c r="L79" s="4">
        <v>1.9637091665808861</v>
      </c>
      <c r="M79" s="4">
        <v>1.9637091665808861</v>
      </c>
      <c r="N79" s="4">
        <v>1.9637091665808861</v>
      </c>
    </row>
    <row r="80" spans="1:14" x14ac:dyDescent="0.3">
      <c r="A80" t="s">
        <v>115</v>
      </c>
      <c r="B80" s="18">
        <v>363582.27646566997</v>
      </c>
      <c r="C80" s="18">
        <v>7.2716455293133989E-2</v>
      </c>
      <c r="D80" s="18">
        <v>114166.98606689301</v>
      </c>
      <c r="E80" s="18">
        <v>7065.133128808161</v>
      </c>
      <c r="F80" s="4">
        <v>2.2530853274993596</v>
      </c>
      <c r="G80" s="4">
        <v>3.9287945076111601</v>
      </c>
      <c r="H80" s="4">
        <v>7.5272638483264194</v>
      </c>
      <c r="I80" s="4">
        <v>5.7494928117182997</v>
      </c>
      <c r="J80" s="4">
        <v>2.2530853274993596</v>
      </c>
      <c r="K80" s="4">
        <v>1.6432554828192061</v>
      </c>
      <c r="L80" s="4">
        <v>1.6432554828192061</v>
      </c>
      <c r="M80" s="4">
        <v>1.6432554828192061</v>
      </c>
      <c r="N80" s="4">
        <v>4.4324452741589804</v>
      </c>
    </row>
    <row r="81" spans="1:14" x14ac:dyDescent="0.3">
      <c r="A81" t="s">
        <v>152</v>
      </c>
      <c r="B81" s="18">
        <v>933969.93468927802</v>
      </c>
      <c r="C81" s="18">
        <v>0.18679398693785559</v>
      </c>
      <c r="D81" s="18">
        <v>307221.61124678497</v>
      </c>
      <c r="E81" s="18">
        <v>7401.1871221019273</v>
      </c>
      <c r="F81" s="4">
        <v>2.9392881482889202</v>
      </c>
      <c r="G81" s="4">
        <v>4.2224805718517198</v>
      </c>
      <c r="H81" s="4">
        <v>3.7448963162120403</v>
      </c>
      <c r="I81" s="4">
        <v>4.7037546073052603</v>
      </c>
      <c r="J81" s="4">
        <v>2.9392881482889202</v>
      </c>
      <c r="K81" s="4">
        <v>1.473495117191854</v>
      </c>
      <c r="L81" s="4">
        <v>0.74259709530421003</v>
      </c>
      <c r="M81" s="4">
        <v>0.74259709530421003</v>
      </c>
      <c r="N81" s="4">
        <v>2.3149838948539601</v>
      </c>
    </row>
    <row r="82" spans="1:14" x14ac:dyDescent="0.3">
      <c r="A82" t="s">
        <v>154</v>
      </c>
      <c r="B82" s="18">
        <v>237834.00886348699</v>
      </c>
      <c r="C82" s="18">
        <v>4.7566801772697398E-2</v>
      </c>
      <c r="D82" s="18">
        <v>38990.843366566602</v>
      </c>
      <c r="E82" s="18">
        <v>3688.6817824750269</v>
      </c>
      <c r="F82" s="4">
        <v>0.27590201936077202</v>
      </c>
      <c r="G82" s="4">
        <v>5.8067159452285591E-2</v>
      </c>
      <c r="H82" s="4">
        <v>0.1801532551189064</v>
      </c>
      <c r="I82" s="4">
        <v>8.1954707073099597E-2</v>
      </c>
      <c r="J82" s="4">
        <v>0.1801532551189064</v>
      </c>
      <c r="K82" s="4">
        <v>7.6055268613779412E-2</v>
      </c>
      <c r="L82" s="4">
        <v>0.29268955345186398</v>
      </c>
      <c r="M82" s="4">
        <v>0.29268955345186398</v>
      </c>
      <c r="N82" s="4">
        <v>0.29268955345186398</v>
      </c>
    </row>
    <row r="83" spans="1:14" x14ac:dyDescent="0.3">
      <c r="A83" t="s">
        <v>117</v>
      </c>
      <c r="B83" s="18">
        <v>2101742.6130011701</v>
      </c>
      <c r="C83" s="18">
        <v>0.42034852260023403</v>
      </c>
      <c r="D83" s="18">
        <v>672837.39753100695</v>
      </c>
      <c r="E83" s="18">
        <v>7202.9949579935692</v>
      </c>
      <c r="F83" s="4">
        <v>1.133721495851516</v>
      </c>
      <c r="G83" s="4">
        <v>0.96368176321243193</v>
      </c>
      <c r="H83" s="4">
        <v>1.3116521658300779</v>
      </c>
      <c r="I83" s="4">
        <v>2.5483476525814801</v>
      </c>
      <c r="J83" s="4">
        <v>1.133721495851516</v>
      </c>
      <c r="K83" s="4">
        <v>0.75912346631347605</v>
      </c>
      <c r="L83" s="4">
        <v>0.96368176321243193</v>
      </c>
      <c r="M83" s="4">
        <v>0.40401487223319998</v>
      </c>
      <c r="N83" s="4">
        <v>0.40401487223319998</v>
      </c>
    </row>
    <row r="84" spans="1:14" x14ac:dyDescent="0.3">
      <c r="A84" t="s">
        <v>119</v>
      </c>
      <c r="B84" s="18">
        <v>38660937.1982622</v>
      </c>
      <c r="C84" s="18">
        <v>7.7321874396524404</v>
      </c>
      <c r="D84" s="18">
        <v>9429153.7765241191</v>
      </c>
      <c r="E84" s="18">
        <v>5487.6051991137201</v>
      </c>
      <c r="F84" s="4">
        <v>5.4254572372322798</v>
      </c>
      <c r="G84" s="4">
        <v>6.4150234950954799</v>
      </c>
      <c r="H84" s="4">
        <v>9.324268170575321</v>
      </c>
      <c r="I84" s="4">
        <v>8.1063526965075994</v>
      </c>
      <c r="J84" s="4">
        <v>9.324268170575321</v>
      </c>
      <c r="K84" s="4">
        <v>8.2481319461009601</v>
      </c>
      <c r="L84" s="4">
        <v>6.02645030718966</v>
      </c>
      <c r="M84" s="4">
        <v>6.02645030718966</v>
      </c>
      <c r="N84" s="4">
        <v>6.02645030718966</v>
      </c>
    </row>
    <row r="85" spans="1:14" x14ac:dyDescent="0.3">
      <c r="A85" t="s">
        <v>120</v>
      </c>
      <c r="B85" s="18">
        <v>68244267.355821595</v>
      </c>
      <c r="C85" s="18">
        <v>13.648853471164319</v>
      </c>
      <c r="D85" s="18">
        <v>15876046.1676243</v>
      </c>
      <c r="E85" s="18">
        <v>5234.3010279393784</v>
      </c>
      <c r="F85" s="4">
        <v>13.232320737781199</v>
      </c>
      <c r="G85" s="4">
        <v>16.008822680861279</v>
      </c>
      <c r="H85" s="4">
        <v>19.349547344879639</v>
      </c>
      <c r="I85" s="4">
        <v>11.423965869649001</v>
      </c>
      <c r="J85" s="4">
        <v>13.232320737781199</v>
      </c>
      <c r="K85" s="4">
        <v>13.232320737781199</v>
      </c>
      <c r="L85" s="4">
        <v>14.40917159295854</v>
      </c>
      <c r="M85" s="4">
        <v>14.40917159295854</v>
      </c>
      <c r="N85" s="4">
        <v>14.40917159295854</v>
      </c>
    </row>
    <row r="86" spans="1:14" x14ac:dyDescent="0.3">
      <c r="A86" t="s">
        <v>121</v>
      </c>
      <c r="B86" s="18">
        <v>3841629.05403361</v>
      </c>
      <c r="C86" s="18">
        <v>0.76832581080672202</v>
      </c>
      <c r="D86" s="18">
        <v>1283167.0421495901</v>
      </c>
      <c r="E86" s="18">
        <v>7515.3686215621765</v>
      </c>
      <c r="F86" s="4">
        <v>0.75300213650810199</v>
      </c>
      <c r="G86" s="4">
        <v>0.68549153879665203</v>
      </c>
      <c r="H86" s="4">
        <v>1.0312068360539242</v>
      </c>
      <c r="I86" s="4">
        <v>0.757348150215988</v>
      </c>
      <c r="J86" s="4">
        <v>0.75300213650810199</v>
      </c>
      <c r="K86" s="4">
        <v>0.86617744357569604</v>
      </c>
      <c r="L86" s="4">
        <v>0.85778446205661207</v>
      </c>
      <c r="M86" s="4">
        <v>0.85778446205661207</v>
      </c>
      <c r="N86" s="4">
        <v>0.88788586897883803</v>
      </c>
    </row>
    <row r="87" spans="1:14" x14ac:dyDescent="0.3">
      <c r="A87" t="s">
        <v>123</v>
      </c>
      <c r="B87" s="18">
        <v>347861.11280670803</v>
      </c>
      <c r="C87" s="18">
        <v>6.9572222561341601E-2</v>
      </c>
      <c r="D87" s="18">
        <v>84004.017537390799</v>
      </c>
      <c r="E87" s="18">
        <v>5433.4627384508422</v>
      </c>
      <c r="F87" s="4">
        <v>0.67563883524798607</v>
      </c>
      <c r="G87" s="4">
        <v>0.42426721054006394</v>
      </c>
      <c r="H87" s="4">
        <v>2.9759771933257202</v>
      </c>
      <c r="I87" s="4">
        <v>0.64199683797540597</v>
      </c>
      <c r="J87" s="4">
        <v>0.67563883524798607</v>
      </c>
      <c r="K87" s="4">
        <v>0.24157036095815199</v>
      </c>
      <c r="L87" s="4">
        <v>0.67563883524798607</v>
      </c>
      <c r="M87" s="4">
        <v>0.67563883524798607</v>
      </c>
      <c r="N87" s="4">
        <v>0.67563883524798607</v>
      </c>
    </row>
    <row r="88" spans="1:14" x14ac:dyDescent="0.3">
      <c r="A88" t="s">
        <v>125</v>
      </c>
      <c r="B88" s="18">
        <v>430954.75608471798</v>
      </c>
      <c r="C88" s="18">
        <v>8.6190951216943604E-2</v>
      </c>
      <c r="D88" s="18">
        <v>137575.846054166</v>
      </c>
      <c r="E88" s="18">
        <v>7182.7877347064796</v>
      </c>
      <c r="F88" s="4">
        <v>0.28102710418120397</v>
      </c>
      <c r="G88" s="4">
        <v>0.52984444293848798</v>
      </c>
      <c r="H88" s="4">
        <v>0.89419279588384792</v>
      </c>
      <c r="I88" s="4">
        <v>0.83903714045045208</v>
      </c>
      <c r="J88" s="4">
        <v>0.77152041249986802</v>
      </c>
      <c r="K88" s="4">
        <v>9.5847991248673201E-2</v>
      </c>
      <c r="L88" s="4">
        <v>0.14755503197960801</v>
      </c>
      <c r="M88" s="4">
        <v>0.31479900912771003</v>
      </c>
      <c r="N88" s="4">
        <v>0.31479900912771003</v>
      </c>
    </row>
    <row r="89" spans="1:14" x14ac:dyDescent="0.3">
      <c r="A89" t="s">
        <v>127</v>
      </c>
      <c r="B89" s="18">
        <v>12360145.210742</v>
      </c>
      <c r="C89" s="18">
        <v>2.4720290421483999</v>
      </c>
      <c r="D89" s="18">
        <v>2975786.9685229999</v>
      </c>
      <c r="E89" s="18">
        <v>5417.0242865413766</v>
      </c>
      <c r="F89" s="4">
        <v>2.24559051104122</v>
      </c>
      <c r="G89" s="4">
        <v>2.7227401329358401</v>
      </c>
      <c r="H89" s="4">
        <v>4.9276696792310606</v>
      </c>
      <c r="I89" s="4">
        <v>2.3425741546889598</v>
      </c>
      <c r="J89" s="4">
        <v>2.24559051104122</v>
      </c>
      <c r="K89" s="4">
        <v>2.24559051104122</v>
      </c>
      <c r="L89" s="4">
        <v>2.85455851127282</v>
      </c>
      <c r="M89" s="4">
        <v>2.85455851127282</v>
      </c>
      <c r="N89" s="4">
        <v>2.85455851127282</v>
      </c>
    </row>
    <row r="90" spans="1:14" x14ac:dyDescent="0.3">
      <c r="A90" t="s">
        <v>171</v>
      </c>
      <c r="B90" s="18">
        <v>179011.83910452601</v>
      </c>
      <c r="C90" s="18">
        <v>3.58023678209052E-2</v>
      </c>
      <c r="D90" s="18">
        <v>42559.424317340898</v>
      </c>
      <c r="E90" s="18">
        <v>5349.2945043764948</v>
      </c>
      <c r="F90" s="4">
        <v>0.23619517464816797</v>
      </c>
      <c r="G90" s="4">
        <v>0.82608867096408201</v>
      </c>
      <c r="H90" s="4">
        <v>2.1896776484290399</v>
      </c>
      <c r="I90" s="4">
        <v>0.51996387185647008</v>
      </c>
      <c r="J90" s="4"/>
      <c r="K90" s="4">
        <v>0.23619517464816797</v>
      </c>
      <c r="L90" s="4"/>
      <c r="M90" s="4"/>
      <c r="N90" s="4"/>
    </row>
    <row r="91" spans="1:14" x14ac:dyDescent="0.3">
      <c r="A91" t="s">
        <v>128</v>
      </c>
      <c r="B91" s="18">
        <v>373201.408525848</v>
      </c>
      <c r="C91" s="18">
        <v>7.4640281705169606E-2</v>
      </c>
      <c r="D91" s="18">
        <v>127448.919296944</v>
      </c>
      <c r="E91" s="18">
        <v>7683.788481689583</v>
      </c>
      <c r="F91" s="4">
        <v>0.559767178126792</v>
      </c>
      <c r="G91" s="4">
        <v>0.53170471740407799</v>
      </c>
      <c r="H91" s="4">
        <v>0.38242463188569603</v>
      </c>
      <c r="I91" s="4">
        <v>0.40167497237718397</v>
      </c>
      <c r="J91" s="4">
        <v>0.559767178126792</v>
      </c>
      <c r="K91" s="4">
        <v>0.234105464532814</v>
      </c>
      <c r="L91" s="4">
        <v>0.53170471740407799</v>
      </c>
      <c r="M91" s="4">
        <v>0.11913828839610802</v>
      </c>
      <c r="N91" s="4">
        <v>0.11913828839610802</v>
      </c>
    </row>
    <row r="92" spans="1:14" x14ac:dyDescent="0.3">
      <c r="A92" t="s">
        <v>165</v>
      </c>
      <c r="B92" s="18">
        <v>146119.634174331</v>
      </c>
      <c r="C92" s="18">
        <v>2.9223926834866201E-2</v>
      </c>
      <c r="D92" s="18">
        <v>39650.834152212003</v>
      </c>
      <c r="E92" s="18">
        <v>6105.570777438299</v>
      </c>
      <c r="F92" s="4">
        <v>0.1703418450166474</v>
      </c>
      <c r="G92" s="4">
        <v>0.33013562297682597</v>
      </c>
      <c r="H92" s="4">
        <v>1.301205522425378</v>
      </c>
      <c r="I92" s="4">
        <v>0.65908372376781998</v>
      </c>
      <c r="J92" s="4">
        <v>0.1703418450166474</v>
      </c>
      <c r="K92" s="4">
        <v>7.9217330884363599E-2</v>
      </c>
      <c r="L92" s="4">
        <v>0.28011270041645403</v>
      </c>
      <c r="M92" s="4">
        <v>0.28011270041645403</v>
      </c>
      <c r="N92" s="4">
        <v>0.28011270041645403</v>
      </c>
    </row>
    <row r="93" spans="1:14" x14ac:dyDescent="0.3">
      <c r="A93" t="s">
        <v>129</v>
      </c>
      <c r="B93" s="18">
        <v>39447.067593070104</v>
      </c>
      <c r="C93" s="18">
        <v>7.8894135186140212E-3</v>
      </c>
      <c r="D93" s="18">
        <v>11702.718631603</v>
      </c>
      <c r="E93" s="18">
        <v>6675.0505240933271</v>
      </c>
      <c r="F93" s="4">
        <v>0.14977962704237699</v>
      </c>
      <c r="G93" s="4">
        <v>0.392617383332798</v>
      </c>
      <c r="H93" s="4">
        <v>0.49793190682469801</v>
      </c>
      <c r="I93" s="4">
        <v>0.42110083579911806</v>
      </c>
      <c r="J93" s="4">
        <v>0.14977962704237699</v>
      </c>
      <c r="K93" s="4">
        <v>7.1730325022952401E-2</v>
      </c>
      <c r="L93" s="4">
        <v>4.4309842487653399E-2</v>
      </c>
      <c r="M93" s="4">
        <v>4.4309842487653399E-2</v>
      </c>
      <c r="N93" s="4">
        <v>4.4309842487653399E-2</v>
      </c>
    </row>
    <row r="94" spans="1:14" x14ac:dyDescent="0.3">
      <c r="A94" t="s">
        <v>168</v>
      </c>
      <c r="B94" s="18">
        <v>76193.333010086601</v>
      </c>
      <c r="C94" s="18">
        <v>1.5238666602017319E-2</v>
      </c>
      <c r="D94" s="18">
        <v>12943.1829814426</v>
      </c>
      <c r="E94" s="18">
        <v>3822.1404101577505</v>
      </c>
      <c r="F94" s="4">
        <v>5.9044455708923201E-2</v>
      </c>
      <c r="G94" s="4">
        <v>4.7158865477600002E-2</v>
      </c>
      <c r="H94" s="4">
        <v>7.8648420388329005E-2</v>
      </c>
      <c r="I94" s="4">
        <v>2.8729090437462197E-2</v>
      </c>
      <c r="J94" s="4">
        <v>7.8648420388329005E-2</v>
      </c>
      <c r="K94" s="4">
        <v>6.34795506306194E-2</v>
      </c>
      <c r="L94" s="4">
        <v>9.0967232081291607E-2</v>
      </c>
      <c r="M94" s="4">
        <v>9.0967232081291607E-2</v>
      </c>
      <c r="N94" s="4">
        <v>3.3912063655824595E-2</v>
      </c>
    </row>
    <row r="95" spans="1:14" x14ac:dyDescent="0.3">
      <c r="A95" t="s">
        <v>170</v>
      </c>
      <c r="B95" s="18">
        <v>3077346.1765660001</v>
      </c>
      <c r="C95" s="18">
        <v>0.61546923531319997</v>
      </c>
      <c r="D95" s="18">
        <v>972934.76887669903</v>
      </c>
      <c r="E95" s="18">
        <v>7113.607323877307</v>
      </c>
      <c r="F95" s="4">
        <v>0.50557524697476808</v>
      </c>
      <c r="G95" s="4">
        <v>0.60037159762586001</v>
      </c>
      <c r="H95" s="4">
        <v>0.470342307825316</v>
      </c>
      <c r="I95" s="4">
        <v>0.68100846656509395</v>
      </c>
      <c r="J95" s="4">
        <v>0.50557524697476808</v>
      </c>
      <c r="K95" s="4">
        <v>0.49765190811645399</v>
      </c>
      <c r="L95" s="4">
        <v>0.51872139168965803</v>
      </c>
      <c r="M95" s="4">
        <v>0.51872139168965803</v>
      </c>
      <c r="N95" s="4">
        <v>0.51872139168965803</v>
      </c>
    </row>
    <row r="96" spans="1:14" x14ac:dyDescent="0.3">
      <c r="A96" t="s">
        <v>173</v>
      </c>
      <c r="B96" s="18">
        <v>18390.6920130648</v>
      </c>
      <c r="C96" s="18">
        <v>3.67813840261296E-3</v>
      </c>
      <c r="D96" s="18">
        <v>5957.8501616519497</v>
      </c>
      <c r="E96" s="18">
        <v>7289.1019294944545</v>
      </c>
      <c r="F96" s="4">
        <v>1.0067432655563339E-2</v>
      </c>
      <c r="G96" s="4">
        <v>5.26417663550948E-2</v>
      </c>
      <c r="H96" s="4">
        <v>5.7214136128845204E-2</v>
      </c>
      <c r="I96" s="4">
        <v>4.2864046707420202E-2</v>
      </c>
      <c r="J96" s="4">
        <v>1.8985555446586602E-2</v>
      </c>
      <c r="K96" s="4">
        <v>1.8985555446586602E-2</v>
      </c>
      <c r="L96" s="4">
        <v>1.3813040377502439E-2</v>
      </c>
      <c r="M96" s="4">
        <v>2.1338410908622599E-2</v>
      </c>
      <c r="N96" s="4">
        <v>2.1338410908622599E-2</v>
      </c>
    </row>
    <row r="97" spans="1:14" x14ac:dyDescent="0.3">
      <c r="A97" t="s">
        <v>175</v>
      </c>
      <c r="B97" s="18">
        <v>31616.006098255799</v>
      </c>
      <c r="C97" s="18">
        <v>6.3232012196511598E-3</v>
      </c>
      <c r="D97" s="18">
        <v>8622.0779193111102</v>
      </c>
      <c r="E97" s="18">
        <v>6136.0297243617515</v>
      </c>
      <c r="F97" s="4">
        <v>8.2689135035956998E-2</v>
      </c>
      <c r="G97" s="4">
        <v>9.1088028513703206E-2</v>
      </c>
      <c r="H97" s="4">
        <v>0.16330680868216141</v>
      </c>
      <c r="I97" s="4">
        <v>0.33053611104422198</v>
      </c>
      <c r="J97" s="4">
        <v>8.8792833178336611E-2</v>
      </c>
      <c r="K97" s="4">
        <v>1.9938493147013181E-2</v>
      </c>
      <c r="L97" s="4">
        <v>6.9082102416145805E-3</v>
      </c>
      <c r="M97" s="4">
        <v>6.9082102416145805E-3</v>
      </c>
      <c r="N97" s="4">
        <v>6.9082102416145805E-3</v>
      </c>
    </row>
    <row r="98" spans="1:14" x14ac:dyDescent="0.3">
      <c r="A98" t="s">
        <v>177</v>
      </c>
      <c r="B98" s="18">
        <v>98326.790340941006</v>
      </c>
      <c r="C98" s="18">
        <v>1.9665358068188202E-2</v>
      </c>
      <c r="D98" s="18">
        <v>31612.268195581499</v>
      </c>
      <c r="E98" s="18">
        <v>7233.7969330055994</v>
      </c>
      <c r="F98" s="4">
        <v>0.79180778126331397</v>
      </c>
      <c r="G98" s="4">
        <v>0.42305941670594599</v>
      </c>
      <c r="H98" s="4">
        <v>1.1515207109991981</v>
      </c>
      <c r="I98" s="4">
        <v>0.91950805924762802</v>
      </c>
      <c r="J98" s="4">
        <v>4.4941689998854804</v>
      </c>
      <c r="K98" s="4">
        <v>0.10604999537537781</v>
      </c>
      <c r="L98" s="4">
        <v>0.175729916119781</v>
      </c>
      <c r="M98" s="4">
        <v>0.175729916119781</v>
      </c>
      <c r="N98" s="4">
        <v>4.4941689998854804</v>
      </c>
    </row>
    <row r="99" spans="1:14" x14ac:dyDescent="0.3">
      <c r="A99" t="s">
        <v>132</v>
      </c>
      <c r="B99" s="18">
        <v>620240.325427067</v>
      </c>
      <c r="C99" s="18">
        <v>0.1240480650854134</v>
      </c>
      <c r="D99" s="18">
        <v>104609.66125726901</v>
      </c>
      <c r="E99" s="18">
        <v>3794.8473870477528</v>
      </c>
      <c r="F99" s="4">
        <v>0.1464416753769302</v>
      </c>
      <c r="G99" s="4">
        <v>6.8513989991302399E-2</v>
      </c>
      <c r="H99" s="4">
        <v>0.14179879131645198</v>
      </c>
      <c r="I99" s="4">
        <v>9.3256902363452798E-2</v>
      </c>
      <c r="J99" s="4">
        <v>0.14179879131645198</v>
      </c>
      <c r="K99" s="4">
        <v>6.3546309163093409E-2</v>
      </c>
      <c r="L99" s="4">
        <v>0.169097516286354</v>
      </c>
      <c r="M99" s="4">
        <v>0.169097516286354</v>
      </c>
      <c r="N99" s="4">
        <v>5.32871017308044E-2</v>
      </c>
    </row>
    <row r="100" spans="1:14" x14ac:dyDescent="0.3">
      <c r="A100" t="s">
        <v>134</v>
      </c>
      <c r="B100" s="18">
        <v>68604.043061148695</v>
      </c>
      <c r="C100" s="18">
        <v>1.3720808612229738E-2</v>
      </c>
      <c r="D100" s="18">
        <v>12953.2468742069</v>
      </c>
      <c r="E100" s="18">
        <v>4248.2635376151156</v>
      </c>
      <c r="F100" s="4">
        <v>1.362148342285156E-2</v>
      </c>
      <c r="G100" s="4">
        <v>7.9890844189452991E-3</v>
      </c>
      <c r="H100" s="4">
        <v>4.2548835402831997E-2</v>
      </c>
      <c r="I100" s="4">
        <v>2.0757107126770001E-2</v>
      </c>
      <c r="J100" s="4">
        <v>4.2548835402831997E-2</v>
      </c>
      <c r="K100" s="4">
        <v>4.2548835402831997E-2</v>
      </c>
      <c r="L100" s="4">
        <v>7.1456344716796807E-2</v>
      </c>
      <c r="M100" s="4">
        <v>7.1456344716796807E-2</v>
      </c>
      <c r="N100" s="4">
        <v>1.4087675490112301E-2</v>
      </c>
    </row>
    <row r="101" spans="1:14" x14ac:dyDescent="0.3">
      <c r="A101" t="s">
        <v>136</v>
      </c>
      <c r="B101" s="18">
        <v>459692.54659707</v>
      </c>
      <c r="C101" s="18">
        <v>9.1938509319413997E-2</v>
      </c>
      <c r="D101" s="18">
        <v>113727.595109474</v>
      </c>
      <c r="E101" s="18">
        <v>5566.4833134787987</v>
      </c>
      <c r="F101" s="4">
        <v>6.3060138514418593E-2</v>
      </c>
      <c r="G101" s="4">
        <v>7.8929712377109398E-2</v>
      </c>
      <c r="H101" s="4">
        <v>0.26840752654938999</v>
      </c>
      <c r="I101" s="4">
        <v>0.12665369714440819</v>
      </c>
      <c r="J101" s="4">
        <v>0.26840752654938999</v>
      </c>
      <c r="K101" s="4">
        <v>0.21452511758904802</v>
      </c>
      <c r="L101" s="4">
        <v>6.3060138514418593E-2</v>
      </c>
      <c r="M101" s="4">
        <v>6.3060138514418593E-2</v>
      </c>
      <c r="N101" s="4">
        <v>6.3060138514418593E-2</v>
      </c>
    </row>
    <row r="102" spans="1:14" x14ac:dyDescent="0.3">
      <c r="A102" t="s">
        <v>137</v>
      </c>
      <c r="B102" s="18">
        <v>92728.660507771405</v>
      </c>
      <c r="C102" s="18">
        <v>1.8545732101554281E-2</v>
      </c>
      <c r="D102" s="18">
        <v>27633.3236501627</v>
      </c>
      <c r="E102" s="18">
        <v>6705.0443597915792</v>
      </c>
      <c r="F102" s="4">
        <v>0.1062321027110666</v>
      </c>
      <c r="G102" s="4">
        <v>0.28947728140764001</v>
      </c>
      <c r="H102" s="4">
        <v>0.40001603622385196</v>
      </c>
      <c r="I102" s="4">
        <v>0.37690926418510001</v>
      </c>
      <c r="J102" s="4">
        <v>0.119173754761315</v>
      </c>
      <c r="K102" s="4">
        <v>1.9827752209510201E-2</v>
      </c>
      <c r="L102" s="4">
        <v>2.605039513853E-2</v>
      </c>
      <c r="M102" s="4">
        <v>8.0760247073134006E-2</v>
      </c>
      <c r="N102" s="4">
        <v>8.0760247073134006E-2</v>
      </c>
    </row>
    <row r="103" spans="1:14" x14ac:dyDescent="0.3">
      <c r="A103" t="s">
        <v>183</v>
      </c>
      <c r="B103" s="18">
        <v>0</v>
      </c>
      <c r="C103" s="18">
        <v>0</v>
      </c>
      <c r="D103" s="18">
        <v>0</v>
      </c>
      <c r="E103" s="18"/>
      <c r="F103" s="4">
        <v>1.293443283813476E-2</v>
      </c>
      <c r="G103" s="4">
        <v>1.31792805456662E-2</v>
      </c>
      <c r="H103" s="4">
        <v>3.1627785568554403E-2</v>
      </c>
      <c r="I103" s="4">
        <v>1.7641087331682442E-2</v>
      </c>
      <c r="J103" s="4">
        <v>3.1627785568554403E-2</v>
      </c>
      <c r="K103" s="4">
        <v>2.2020451666576801E-2</v>
      </c>
      <c r="L103" s="4"/>
      <c r="M103" s="4"/>
      <c r="N103" s="4"/>
    </row>
    <row r="104" spans="1:14" x14ac:dyDescent="0.3">
      <c r="A104" t="s">
        <v>139</v>
      </c>
      <c r="B104" s="18">
        <v>27713.930775442001</v>
      </c>
      <c r="C104" s="18">
        <v>5.5427861550884005E-3</v>
      </c>
      <c r="D104" s="18">
        <v>8583.5944539985103</v>
      </c>
      <c r="E104" s="18">
        <v>6968.7290763569536</v>
      </c>
      <c r="F104" s="4">
        <v>4.5960607074041197E-2</v>
      </c>
      <c r="G104" s="4">
        <v>0.18183128665482762</v>
      </c>
      <c r="H104" s="4">
        <v>0.29047255360320401</v>
      </c>
      <c r="I104" s="4">
        <v>0.41449917709341999</v>
      </c>
      <c r="J104" s="4">
        <v>7.0647784517142598E-2</v>
      </c>
      <c r="K104" s="4">
        <v>1.3363023201858979E-2</v>
      </c>
      <c r="L104" s="4">
        <v>4.4013186917912804E-2</v>
      </c>
      <c r="M104" s="4">
        <v>4.2094202642164201E-2</v>
      </c>
      <c r="N104" s="4">
        <v>4.2094202642164201E-2</v>
      </c>
    </row>
    <row r="105" spans="1:14" x14ac:dyDescent="0.3">
      <c r="A105" t="s">
        <v>141</v>
      </c>
      <c r="B105" s="18">
        <v>4880829.5186980097</v>
      </c>
      <c r="C105" s="18">
        <v>0.97616590373960188</v>
      </c>
      <c r="D105" s="18">
        <v>1414854.65078099</v>
      </c>
      <c r="E105" s="18">
        <v>6522.2990314696026</v>
      </c>
      <c r="F105" s="4">
        <v>3.0534188623703202</v>
      </c>
      <c r="G105" s="4">
        <v>3.7869920712737395</v>
      </c>
      <c r="H105" s="4">
        <v>3.84671919981654</v>
      </c>
      <c r="I105" s="4">
        <v>11.10745758388272</v>
      </c>
      <c r="J105" s="4">
        <v>3.0534188623703202</v>
      </c>
      <c r="K105" s="4">
        <v>1.40351887086298</v>
      </c>
      <c r="L105" s="4">
        <v>3.0534188623703202</v>
      </c>
      <c r="M105" s="4">
        <v>2.8963019963002203</v>
      </c>
      <c r="N105" s="4">
        <v>2.8963019963002203</v>
      </c>
    </row>
    <row r="106" spans="1:14" x14ac:dyDescent="0.3">
      <c r="A106" t="s">
        <v>144</v>
      </c>
      <c r="B106" s="18">
        <v>204086.29169300199</v>
      </c>
      <c r="C106" s="18">
        <v>4.08172583386004E-2</v>
      </c>
      <c r="D106" s="18">
        <v>71318.477725771707</v>
      </c>
      <c r="E106" s="18">
        <v>7862.6826697585911</v>
      </c>
      <c r="F106" s="4">
        <v>0.29335352883469795</v>
      </c>
      <c r="G106" s="4">
        <v>0.35308630717855</v>
      </c>
      <c r="H106" s="4">
        <v>0.54175004258720805</v>
      </c>
      <c r="I106" s="4">
        <v>0.39706600884926196</v>
      </c>
      <c r="J106" s="4">
        <v>3.3217436935503599</v>
      </c>
      <c r="K106" s="4">
        <v>1.3154167547707539E-2</v>
      </c>
      <c r="L106" s="4">
        <v>0.1762605648524386</v>
      </c>
      <c r="M106" s="4">
        <v>0.17818198119140802</v>
      </c>
      <c r="N106" s="4">
        <v>0.17818198119140802</v>
      </c>
    </row>
    <row r="107" spans="1:14" x14ac:dyDescent="0.3">
      <c r="A107" t="s">
        <v>146</v>
      </c>
      <c r="B107" s="18">
        <v>712394.95191661397</v>
      </c>
      <c r="C107" s="18">
        <v>0.14247899038332279</v>
      </c>
      <c r="D107" s="18">
        <v>214427.96336915699</v>
      </c>
      <c r="E107" s="18">
        <v>6772.4078656452302</v>
      </c>
      <c r="F107" s="4">
        <v>0.12909821642822261</v>
      </c>
      <c r="G107" s="4">
        <v>6.55656005768918E-2</v>
      </c>
      <c r="H107" s="4">
        <v>0.11799879512111179</v>
      </c>
      <c r="I107" s="4">
        <v>0.1786057549328946</v>
      </c>
      <c r="J107" s="4">
        <v>0.11799879512111179</v>
      </c>
      <c r="K107" s="4">
        <v>0.1469819494057798</v>
      </c>
      <c r="L107" s="4">
        <v>6.55656005768918E-2</v>
      </c>
      <c r="M107" s="4">
        <v>5.2578018841814997E-2</v>
      </c>
      <c r="N107" s="4">
        <v>0.1169208804146908</v>
      </c>
    </row>
    <row r="108" spans="1:14" x14ac:dyDescent="0.3">
      <c r="A108" t="s">
        <v>190</v>
      </c>
      <c r="B108" s="18">
        <v>126285.693564234</v>
      </c>
      <c r="C108" s="18">
        <v>2.5257138712846801E-2</v>
      </c>
      <c r="D108" s="18">
        <v>44307.060179643799</v>
      </c>
      <c r="E108" s="18">
        <v>7894.0759313715726</v>
      </c>
      <c r="F108" s="4">
        <v>7.2853008222050597E-2</v>
      </c>
      <c r="G108" s="4">
        <v>3.5982481109013399E-2</v>
      </c>
      <c r="H108" s="4">
        <v>2.8187048442117998E-2</v>
      </c>
      <c r="I108" s="4">
        <v>9.2340478708052606E-2</v>
      </c>
      <c r="J108" s="4">
        <v>3.5982481109013399E-2</v>
      </c>
      <c r="K108" s="4">
        <v>1.3753620275979041E-2</v>
      </c>
      <c r="L108" s="4"/>
      <c r="M108" s="4"/>
      <c r="N108" s="4"/>
    </row>
    <row r="109" spans="1:14" x14ac:dyDescent="0.3">
      <c r="A109" t="s">
        <v>148</v>
      </c>
      <c r="B109" s="18">
        <v>11934.9770033772</v>
      </c>
      <c r="C109" s="18">
        <v>2.3869954006754401E-3</v>
      </c>
      <c r="D109" s="18">
        <v>4459.5409606053499</v>
      </c>
      <c r="E109" s="18">
        <v>8407.1943821280602</v>
      </c>
      <c r="F109" s="4">
        <v>0.1254087404453206</v>
      </c>
      <c r="G109" s="4">
        <v>0.171131561430621</v>
      </c>
      <c r="H109" s="4">
        <v>0.1790826743038702</v>
      </c>
      <c r="I109" s="4">
        <v>0.1372610440122348</v>
      </c>
      <c r="J109" s="4">
        <v>0.71176088032399798</v>
      </c>
      <c r="K109" s="4">
        <v>6.3779939334392402E-3</v>
      </c>
      <c r="L109" s="4">
        <v>3.8435522809653198E-2</v>
      </c>
      <c r="M109" s="4">
        <v>7.9886521384448392E-2</v>
      </c>
      <c r="N109" s="4">
        <v>7.9886521384448392E-2</v>
      </c>
    </row>
    <row r="110" spans="1:14" x14ac:dyDescent="0.3">
      <c r="A110" t="s">
        <v>149</v>
      </c>
      <c r="B110" s="18">
        <v>10093473.824790699</v>
      </c>
      <c r="C110" s="18">
        <v>2.0186947649581399</v>
      </c>
      <c r="D110" s="18">
        <v>3421845.7997982502</v>
      </c>
      <c r="E110" s="18">
        <v>7627.852593857313</v>
      </c>
      <c r="F110" s="4">
        <v>6.1972597276393797</v>
      </c>
      <c r="G110" s="4">
        <v>6.9205038925202995</v>
      </c>
      <c r="H110" s="4">
        <v>10.65732971691344</v>
      </c>
      <c r="I110" s="4">
        <v>8.1718972287509608</v>
      </c>
      <c r="J110" s="4">
        <v>6.9205038925202995</v>
      </c>
      <c r="K110" s="4">
        <v>2.4750058201244398</v>
      </c>
      <c r="L110" s="4">
        <v>6.1972597276393797</v>
      </c>
      <c r="M110" s="4">
        <v>10.66526488799456</v>
      </c>
      <c r="N110" s="4">
        <v>2.4750058201244398</v>
      </c>
    </row>
    <row r="111" spans="1:14" x14ac:dyDescent="0.3">
      <c r="A111" t="s">
        <v>150</v>
      </c>
      <c r="B111" s="18">
        <v>36817.988122557101</v>
      </c>
      <c r="C111" s="18">
        <v>7.3635976245114204E-3</v>
      </c>
      <c r="D111" s="18">
        <v>7763.3963314844495</v>
      </c>
      <c r="E111" s="18">
        <v>4744.3227173888399</v>
      </c>
      <c r="F111" s="4">
        <v>6.3141819771513799E-2</v>
      </c>
      <c r="G111" s="4">
        <v>9.2491724486112592E-2</v>
      </c>
      <c r="H111" s="4">
        <v>1.288639705370926</v>
      </c>
      <c r="I111" s="4">
        <v>0.1037773776290082</v>
      </c>
      <c r="J111" s="4">
        <v>1.288639705370926</v>
      </c>
      <c r="K111" s="4">
        <v>0.241164473713668</v>
      </c>
      <c r="L111" s="4">
        <v>6.3141819771513799E-2</v>
      </c>
      <c r="M111" s="4">
        <v>0.22277205945881201</v>
      </c>
      <c r="N111" s="4">
        <v>1.9461041319427479E-2</v>
      </c>
    </row>
    <row r="112" spans="1:14" x14ac:dyDescent="0.3">
      <c r="A112" t="s">
        <v>151</v>
      </c>
      <c r="B112" s="18">
        <v>53016.938491106303</v>
      </c>
      <c r="C112" s="18">
        <v>1.0603387698221261E-2</v>
      </c>
      <c r="D112" s="18">
        <v>13674.6412220613</v>
      </c>
      <c r="E112" s="18">
        <v>5803.4174785100622</v>
      </c>
      <c r="F112" s="4">
        <v>4.2073255626513199E-2</v>
      </c>
      <c r="G112" s="4">
        <v>0.11854858946630339</v>
      </c>
      <c r="H112" s="4">
        <v>1.3289637665298482</v>
      </c>
      <c r="I112" s="4">
        <v>0.201849609709216</v>
      </c>
      <c r="J112" s="4">
        <v>4.2073255626513199E-2</v>
      </c>
      <c r="K112" s="4">
        <v>4.2073255626513199E-2</v>
      </c>
      <c r="L112" s="4">
        <v>0.29080846517496201</v>
      </c>
      <c r="M112" s="4">
        <v>4.2073255626513199E-2</v>
      </c>
      <c r="N112" s="4">
        <v>4.2073255626513199E-2</v>
      </c>
    </row>
    <row r="113" spans="1:14" x14ac:dyDescent="0.3">
      <c r="A113" t="s">
        <v>196</v>
      </c>
      <c r="B113" s="18">
        <v>47478.644263020004</v>
      </c>
      <c r="C113" s="18">
        <v>9.4957288526040014E-3</v>
      </c>
      <c r="D113" s="18">
        <v>11510.7257574301</v>
      </c>
      <c r="E113" s="18">
        <v>5454.9015365187979</v>
      </c>
      <c r="F113" s="4">
        <v>5.5258758480739596E-3</v>
      </c>
      <c r="G113" s="4">
        <v>1.1452710917696941E-2</v>
      </c>
      <c r="H113" s="4">
        <v>3.2154037164726201E-2</v>
      </c>
      <c r="I113" s="4">
        <v>2.3267500918273801E-2</v>
      </c>
      <c r="J113" s="4">
        <v>3.2154037164726201E-2</v>
      </c>
      <c r="K113" s="4">
        <v>3.0163666643800598E-2</v>
      </c>
      <c r="L113" s="4">
        <v>5.5258758480739596E-3</v>
      </c>
      <c r="M113" s="4">
        <v>5.5258758480739596E-3</v>
      </c>
      <c r="N113" s="4">
        <v>5.5258758480739596E-3</v>
      </c>
    </row>
    <row r="114" spans="1:14" x14ac:dyDescent="0.3">
      <c r="A114" t="s">
        <v>153</v>
      </c>
      <c r="B114" s="18">
        <v>1530889.63835944</v>
      </c>
      <c r="C114" s="18">
        <v>0.30617792767188801</v>
      </c>
      <c r="D114" s="18">
        <v>478111.43511970702</v>
      </c>
      <c r="E114" s="18">
        <v>7026.9645966913486</v>
      </c>
      <c r="F114" s="4">
        <v>0.88783684013246389</v>
      </c>
      <c r="G114" s="4">
        <v>1.236021300284704</v>
      </c>
      <c r="H114" s="4">
        <v>2.42581177969286</v>
      </c>
      <c r="I114" s="4">
        <v>1.383758764635538</v>
      </c>
      <c r="J114" s="4">
        <v>1.0745651348170939</v>
      </c>
      <c r="K114" s="4">
        <v>0.34199979070503</v>
      </c>
      <c r="L114" s="4">
        <v>0.47542965890245997</v>
      </c>
      <c r="M114" s="4">
        <v>0.47542965890245997</v>
      </c>
      <c r="N114" s="4">
        <v>0.47542965890245997</v>
      </c>
    </row>
    <row r="115" spans="1:14" x14ac:dyDescent="0.3">
      <c r="A115" t="s">
        <v>155</v>
      </c>
      <c r="B115" s="18">
        <v>59036.625270684002</v>
      </c>
      <c r="C115" s="18">
        <v>1.18073250541368E-2</v>
      </c>
      <c r="D115" s="18">
        <v>17279.795526361599</v>
      </c>
      <c r="E115" s="18">
        <v>6585.6643661540938</v>
      </c>
      <c r="F115" s="4">
        <v>0.48246721476736404</v>
      </c>
      <c r="G115" s="4">
        <v>0.56808251776311403</v>
      </c>
      <c r="H115" s="4">
        <v>0.75548716850870401</v>
      </c>
      <c r="I115" s="4">
        <v>1.0128427344791939</v>
      </c>
      <c r="J115" s="4">
        <v>0.23464672920760402</v>
      </c>
      <c r="K115" s="4">
        <v>8.7652320187016797E-2</v>
      </c>
      <c r="L115" s="4">
        <v>0.16502992004230521</v>
      </c>
      <c r="M115" s="4">
        <v>0.22951962763592201</v>
      </c>
      <c r="N115" s="4">
        <v>0.22951962763592201</v>
      </c>
    </row>
    <row r="116" spans="1:14" x14ac:dyDescent="0.3">
      <c r="A116" t="s">
        <v>156</v>
      </c>
      <c r="B116" s="18">
        <v>421016.16702873999</v>
      </c>
      <c r="C116" s="18">
        <v>8.4203233405747993E-2</v>
      </c>
      <c r="D116" s="18">
        <v>119944.519900133</v>
      </c>
      <c r="E116" s="18">
        <v>6410.0904171900047</v>
      </c>
      <c r="F116" s="4">
        <v>1.0970666941567819</v>
      </c>
      <c r="G116" s="4">
        <v>3.0564526772592804</v>
      </c>
      <c r="H116" s="4">
        <v>3.3949239970754803</v>
      </c>
      <c r="I116" s="4">
        <v>3.0665532546830199</v>
      </c>
      <c r="J116" s="4">
        <v>1.0970666941567819</v>
      </c>
      <c r="K116" s="4">
        <v>0.92578935160394793</v>
      </c>
      <c r="L116" s="4">
        <v>0.28487154888203198</v>
      </c>
      <c r="M116" s="4">
        <v>0.28487154888203198</v>
      </c>
      <c r="N116" s="4">
        <v>0.28487154888203198</v>
      </c>
    </row>
    <row r="117" spans="1:14" x14ac:dyDescent="0.3">
      <c r="A117" t="s">
        <v>157</v>
      </c>
      <c r="B117" s="18">
        <v>224026.18360158199</v>
      </c>
      <c r="C117" s="18">
        <v>4.4805236720316395E-2</v>
      </c>
      <c r="D117" s="18">
        <v>84056.186559568305</v>
      </c>
      <c r="E117" s="18">
        <v>8442.1569264144327</v>
      </c>
      <c r="F117" s="4">
        <v>5.4789536238216002E-2</v>
      </c>
      <c r="G117" s="4">
        <v>8.3096037780071394E-2</v>
      </c>
      <c r="H117" s="4">
        <v>0.234353573336476</v>
      </c>
      <c r="I117" s="4">
        <v>0.1008160535954666</v>
      </c>
      <c r="J117" s="4">
        <v>8.4353686153982999</v>
      </c>
      <c r="K117" s="4">
        <v>8.4353686153982999</v>
      </c>
      <c r="L117" s="4">
        <v>6.1117451904003604E-2</v>
      </c>
      <c r="M117" s="4">
        <v>9.4917922659880999E-2</v>
      </c>
      <c r="N117" s="4">
        <v>8.4353686153982999</v>
      </c>
    </row>
    <row r="118" spans="1:14" x14ac:dyDescent="0.3">
      <c r="A118" t="s">
        <v>158</v>
      </c>
      <c r="B118" s="18">
        <v>39368.489560452101</v>
      </c>
      <c r="C118" s="18">
        <v>7.8736979120904195E-3</v>
      </c>
      <c r="D118" s="18">
        <v>10009.449076029699</v>
      </c>
      <c r="E118" s="18">
        <v>5720.631061164896</v>
      </c>
      <c r="F118" s="4">
        <v>0.12803311764608619</v>
      </c>
      <c r="G118" s="4">
        <v>0.42796348979303001</v>
      </c>
      <c r="H118" s="4">
        <v>0.865063566027372</v>
      </c>
      <c r="I118" s="4">
        <v>1.382436452990262</v>
      </c>
      <c r="J118" s="4">
        <v>0.12803311764608619</v>
      </c>
      <c r="K118" s="4">
        <v>5.0291461822462004E-2</v>
      </c>
      <c r="L118" s="4">
        <v>5.0291461822462004E-2</v>
      </c>
      <c r="M118" s="4">
        <v>5.0291461822462004E-2</v>
      </c>
      <c r="N118" s="4">
        <v>5.0291461822462004E-2</v>
      </c>
    </row>
    <row r="119" spans="1:14" x14ac:dyDescent="0.3">
      <c r="A119" t="s">
        <v>159</v>
      </c>
      <c r="B119" s="18">
        <v>9948383.49447033</v>
      </c>
      <c r="C119" s="18">
        <v>1.989676698894066</v>
      </c>
      <c r="D119" s="18">
        <v>1796823.5308685901</v>
      </c>
      <c r="E119" s="18">
        <v>4063.8290097094582</v>
      </c>
      <c r="F119" s="4">
        <v>2.01280320938652</v>
      </c>
      <c r="G119" s="4">
        <v>0.9231248823316559</v>
      </c>
      <c r="H119" s="4">
        <v>1.8363516931389821</v>
      </c>
      <c r="I119" s="4">
        <v>1.862316270078076</v>
      </c>
      <c r="J119" s="4">
        <v>1.8363516931389821</v>
      </c>
      <c r="K119" s="4">
        <v>1.8363516931389821</v>
      </c>
      <c r="L119" s="4">
        <v>2.6893067867734399</v>
      </c>
      <c r="M119" s="4">
        <v>1.8363516931389821</v>
      </c>
      <c r="N119" s="4">
        <v>1.8363516931389821</v>
      </c>
    </row>
    <row r="120" spans="1:14" x14ac:dyDescent="0.3">
      <c r="A120" t="s">
        <v>160</v>
      </c>
      <c r="B120" s="18">
        <v>0</v>
      </c>
      <c r="C120" s="18">
        <v>0</v>
      </c>
      <c r="D120" s="18">
        <v>0</v>
      </c>
      <c r="E120" s="18"/>
      <c r="F120" s="4">
        <v>9.5601013982844207E-3</v>
      </c>
      <c r="G120" s="4">
        <v>1.322697981807946E-2</v>
      </c>
      <c r="H120" s="4">
        <v>2.2969073510742E-2</v>
      </c>
      <c r="I120" s="4">
        <v>2.7586963321227998E-2</v>
      </c>
      <c r="J120" s="4">
        <v>3.0193907481543998E-2</v>
      </c>
      <c r="K120" s="4">
        <v>2.0095042673254002E-3</v>
      </c>
      <c r="L120" s="4"/>
      <c r="M120" s="4"/>
      <c r="N120" s="4"/>
    </row>
    <row r="121" spans="1:14" x14ac:dyDescent="0.3">
      <c r="A121" t="s">
        <v>162</v>
      </c>
      <c r="B121" s="18">
        <v>551025.88756811304</v>
      </c>
      <c r="C121" s="18">
        <v>0.1102051775136226</v>
      </c>
      <c r="D121" s="18">
        <v>135043.156457559</v>
      </c>
      <c r="E121" s="18">
        <v>5514.2073881592141</v>
      </c>
      <c r="F121" s="4">
        <v>0.35715994739789803</v>
      </c>
      <c r="G121" s="4">
        <v>0.31736084275996801</v>
      </c>
      <c r="H121" s="4">
        <v>0.93086431805555803</v>
      </c>
      <c r="I121" s="4">
        <v>0.39666228867429404</v>
      </c>
      <c r="J121" s="4">
        <v>0.83260892448590207</v>
      </c>
      <c r="K121" s="4">
        <v>0.83260892448590207</v>
      </c>
      <c r="L121" s="4">
        <v>0.31736084275996801</v>
      </c>
      <c r="M121" s="4">
        <v>0.49855734741865798</v>
      </c>
      <c r="N121" s="4">
        <v>0.49855734741865798</v>
      </c>
    </row>
    <row r="122" spans="1:14" x14ac:dyDescent="0.3">
      <c r="A122" t="s">
        <v>161</v>
      </c>
      <c r="B122" s="18">
        <v>31717.006632472101</v>
      </c>
      <c r="C122" s="18">
        <v>6.3434013264944203E-3</v>
      </c>
      <c r="D122" s="18">
        <v>10278.393232562201</v>
      </c>
      <c r="E122" s="18">
        <v>7291.477736612127</v>
      </c>
      <c r="F122" s="4">
        <v>0.217282878847288</v>
      </c>
      <c r="G122" s="4">
        <v>0.226537754941288</v>
      </c>
      <c r="H122" s="4">
        <v>0.30734688207112604</v>
      </c>
      <c r="I122" s="4">
        <v>0.33820633645113402</v>
      </c>
      <c r="J122" s="4">
        <v>0.226537754941288</v>
      </c>
      <c r="K122" s="4">
        <v>3.1987447724680804E-2</v>
      </c>
      <c r="L122" s="4">
        <v>6.0835592312640997E-2</v>
      </c>
      <c r="M122" s="4">
        <v>6.0835592312640997E-2</v>
      </c>
      <c r="N122" s="4">
        <v>6.0835592312640997E-2</v>
      </c>
    </row>
    <row r="123" spans="1:14" x14ac:dyDescent="0.3">
      <c r="A123" t="s">
        <v>163</v>
      </c>
      <c r="B123" s="18">
        <v>50274.185139939102</v>
      </c>
      <c r="C123" s="18">
        <v>1.0054837027987821E-2</v>
      </c>
      <c r="D123" s="18">
        <v>18595.049327544999</v>
      </c>
      <c r="E123" s="18">
        <v>8322.1360765006975</v>
      </c>
      <c r="F123" s="4">
        <v>0.20239990971005201</v>
      </c>
      <c r="G123" s="4">
        <v>0.71874517486506595</v>
      </c>
      <c r="H123" s="4">
        <v>0.72667923222919595</v>
      </c>
      <c r="I123" s="4">
        <v>0.75741762744005392</v>
      </c>
      <c r="J123" s="4">
        <v>23.875049478320598</v>
      </c>
      <c r="K123" s="4">
        <v>7.1504226359325792E-3</v>
      </c>
      <c r="L123" s="4">
        <v>0.1015389396599108</v>
      </c>
      <c r="M123" s="4">
        <v>0.21963629303783203</v>
      </c>
      <c r="N123" s="4">
        <v>0.21963629303783203</v>
      </c>
    </row>
    <row r="124" spans="1:14" x14ac:dyDescent="0.3">
      <c r="A124" t="s">
        <v>164</v>
      </c>
      <c r="B124" s="18">
        <v>918902.02090720297</v>
      </c>
      <c r="C124" s="18">
        <v>0.18378040418144059</v>
      </c>
      <c r="D124" s="18">
        <v>281343.10077130498</v>
      </c>
      <c r="E124" s="18">
        <v>6888.8952503388073</v>
      </c>
      <c r="F124" s="4">
        <v>5.4473545035545996</v>
      </c>
      <c r="G124" s="4">
        <v>7.9088149481206189</v>
      </c>
      <c r="H124" s="4">
        <v>9.5318720759333591</v>
      </c>
      <c r="I124" s="4">
        <v>12.056916584495481</v>
      </c>
      <c r="J124" s="4">
        <v>32.353668141992998</v>
      </c>
      <c r="K124" s="4">
        <v>0.15409598166009239</v>
      </c>
      <c r="L124" s="4">
        <v>1.3833222532949521</v>
      </c>
      <c r="M124" s="4">
        <v>1.3833222532949521</v>
      </c>
      <c r="N124" s="4">
        <v>1.3833222532949521</v>
      </c>
    </row>
    <row r="125" spans="1:14" x14ac:dyDescent="0.3">
      <c r="A125" t="s">
        <v>166</v>
      </c>
      <c r="B125" s="18">
        <v>551537.90252326301</v>
      </c>
      <c r="C125" s="18">
        <v>0.1103075805046526</v>
      </c>
      <c r="D125" s="18">
        <v>86419.153838880899</v>
      </c>
      <c r="E125" s="18">
        <v>3525.4711461880129</v>
      </c>
      <c r="F125" s="4">
        <v>0.51774039011788797</v>
      </c>
      <c r="G125" s="4">
        <v>0.1083808430495786</v>
      </c>
      <c r="H125" s="4">
        <v>0.28368982840481799</v>
      </c>
      <c r="I125" s="4">
        <v>0.15669323572410102</v>
      </c>
      <c r="J125" s="4">
        <v>0.28368982840481799</v>
      </c>
      <c r="K125" s="4">
        <v>0.10303131643003879</v>
      </c>
      <c r="L125" s="4">
        <v>1.2265456079655319</v>
      </c>
      <c r="M125" s="4">
        <v>1.2265456079655319</v>
      </c>
      <c r="N125" s="4">
        <v>0.10596105212047541</v>
      </c>
    </row>
    <row r="126" spans="1:14" x14ac:dyDescent="0.3">
      <c r="A126" t="s">
        <v>167</v>
      </c>
      <c r="B126" s="18">
        <v>0</v>
      </c>
      <c r="C126" s="18">
        <v>0</v>
      </c>
      <c r="D126" s="18">
        <v>0</v>
      </c>
      <c r="E126" s="18"/>
      <c r="F126" s="4">
        <v>0.18525392785489078</v>
      </c>
      <c r="G126" s="4">
        <v>0.55852951883421598</v>
      </c>
      <c r="H126" s="4">
        <v>0.59427016618319195</v>
      </c>
      <c r="I126" s="4">
        <v>0.28222816713229998</v>
      </c>
      <c r="J126" s="4">
        <v>0.18525392785489078</v>
      </c>
      <c r="K126" s="4">
        <v>0.24543643485747399</v>
      </c>
      <c r="L126" s="4"/>
      <c r="M126" s="4"/>
      <c r="N126" s="4"/>
    </row>
    <row r="127" spans="1:14" x14ac:dyDescent="0.3">
      <c r="A127" t="s">
        <v>169</v>
      </c>
      <c r="B127" s="18">
        <v>12457134.4121201</v>
      </c>
      <c r="C127" s="18">
        <v>2.4914268824240202</v>
      </c>
      <c r="D127" s="18">
        <v>3868993.4678440401</v>
      </c>
      <c r="E127" s="18">
        <v>6988.1523427887068</v>
      </c>
      <c r="F127" s="4">
        <v>5.5995041132247598</v>
      </c>
      <c r="G127" s="4">
        <v>8.6530739264151002</v>
      </c>
      <c r="H127" s="4">
        <v>11.372309759822901</v>
      </c>
      <c r="I127" s="4">
        <v>14.600517311994359</v>
      </c>
      <c r="J127" s="4">
        <v>5.5995041132247598</v>
      </c>
      <c r="K127" s="4">
        <v>2.3847572451321799</v>
      </c>
      <c r="L127" s="4">
        <v>2.3847572451321799</v>
      </c>
      <c r="M127" s="4">
        <v>2.8226137189948397</v>
      </c>
      <c r="N127" s="4">
        <v>2.8226137189948397</v>
      </c>
    </row>
    <row r="128" spans="1:14" x14ac:dyDescent="0.3">
      <c r="A128" t="s">
        <v>172</v>
      </c>
      <c r="B128" s="18">
        <v>334721.23571556999</v>
      </c>
      <c r="C128" s="18">
        <v>6.6944247143113991E-2</v>
      </c>
      <c r="D128" s="18">
        <v>94365.433611346307</v>
      </c>
      <c r="E128" s="18">
        <v>6343.2553112928399</v>
      </c>
      <c r="F128" s="4">
        <v>0.31177920668165199</v>
      </c>
      <c r="G128" s="4">
        <v>0.42659209834774797</v>
      </c>
      <c r="H128" s="4">
        <v>0.39592662696095399</v>
      </c>
      <c r="I128" s="4">
        <v>0.73330371269650407</v>
      </c>
      <c r="J128" s="4">
        <v>0.42659209834774797</v>
      </c>
      <c r="K128" s="4">
        <v>5.7948718346099798E-2</v>
      </c>
      <c r="L128" s="4">
        <v>0.31177920668165199</v>
      </c>
      <c r="M128" s="4">
        <v>0.35624066075007399</v>
      </c>
      <c r="N128" s="4">
        <v>0.35624066075007399</v>
      </c>
    </row>
    <row r="129" spans="1:14" x14ac:dyDescent="0.3">
      <c r="A129" t="s">
        <v>214</v>
      </c>
      <c r="B129" s="18">
        <v>8754.6904357432595</v>
      </c>
      <c r="C129" s="18">
        <v>1.7509380871486519E-3</v>
      </c>
      <c r="D129" s="18">
        <v>2525.3000029979298</v>
      </c>
      <c r="E129" s="18">
        <v>6490.1495357819067</v>
      </c>
      <c r="F129" s="4">
        <v>7.5342695258931391E-2</v>
      </c>
      <c r="G129" s="4">
        <v>0.21613700616586198</v>
      </c>
      <c r="H129" s="4">
        <v>0.202530105863302</v>
      </c>
      <c r="I129" s="4">
        <v>0.42042703708423201</v>
      </c>
      <c r="J129" s="4">
        <v>0.37374493910546402</v>
      </c>
      <c r="K129" s="4">
        <v>1.91502092684198E-3</v>
      </c>
      <c r="L129" s="4">
        <v>4.2153464795750002E-2</v>
      </c>
      <c r="M129" s="4">
        <v>4.2153464795750002E-2</v>
      </c>
      <c r="N129" s="4">
        <v>4.2153464795750002E-2</v>
      </c>
    </row>
    <row r="130" spans="1:14" x14ac:dyDescent="0.3">
      <c r="A130" t="s">
        <v>216</v>
      </c>
      <c r="B130" s="18">
        <v>389145.03442076797</v>
      </c>
      <c r="C130" s="18">
        <v>7.782900688415359E-2</v>
      </c>
      <c r="D130" s="18">
        <v>116173.212927965</v>
      </c>
      <c r="E130" s="18">
        <v>6717.025940649426</v>
      </c>
      <c r="F130" s="4">
        <v>0.48001182070110998</v>
      </c>
      <c r="G130" s="4">
        <v>0.51772140094896202</v>
      </c>
      <c r="H130" s="4">
        <v>1.1093489581809999</v>
      </c>
      <c r="I130" s="4">
        <v>1.3037991812741441</v>
      </c>
      <c r="J130" s="4">
        <v>0.51772140094896202</v>
      </c>
      <c r="K130" s="4">
        <v>0.47587502413080801</v>
      </c>
      <c r="L130" s="4">
        <v>0.16403572639772701</v>
      </c>
      <c r="M130" s="4">
        <v>0.16403572639772701</v>
      </c>
      <c r="N130" s="4">
        <v>0.41917241599793803</v>
      </c>
    </row>
    <row r="131" spans="1:14" x14ac:dyDescent="0.3">
      <c r="A131" t="s">
        <v>174</v>
      </c>
      <c r="B131" s="18">
        <v>241895.86563458401</v>
      </c>
      <c r="C131" s="18">
        <v>4.8379173126916801E-2</v>
      </c>
      <c r="D131" s="18">
        <v>85584.551036543693</v>
      </c>
      <c r="E131" s="18">
        <v>7960.6668483999147</v>
      </c>
      <c r="F131" s="4">
        <v>0.74224218047986601</v>
      </c>
      <c r="G131" s="4">
        <v>1.2783426356435521</v>
      </c>
      <c r="H131" s="4">
        <v>2.03524448892064</v>
      </c>
      <c r="I131" s="4">
        <v>2.6846799344263599</v>
      </c>
      <c r="J131" s="4">
        <v>1.2783426356435521</v>
      </c>
      <c r="K131" s="4">
        <v>1.6663655741752279</v>
      </c>
      <c r="L131" s="4">
        <v>0.45675238792669598</v>
      </c>
      <c r="M131" s="4">
        <v>1.6663655741752279</v>
      </c>
      <c r="N131" s="4">
        <v>0.36673129593091597</v>
      </c>
    </row>
    <row r="132" spans="1:14" x14ac:dyDescent="0.3">
      <c r="A132" t="s">
        <v>176</v>
      </c>
      <c r="B132" s="18">
        <v>2134783.7233494902</v>
      </c>
      <c r="C132" s="18">
        <v>0.42695674466989803</v>
      </c>
      <c r="D132" s="18">
        <v>609119.13035536394</v>
      </c>
      <c r="E132" s="18">
        <v>6419.9386022543622</v>
      </c>
      <c r="F132" s="4">
        <v>3.6744160003271995</v>
      </c>
      <c r="G132" s="4">
        <v>3.7891694640433604</v>
      </c>
      <c r="H132" s="4">
        <v>5.2020255856680402</v>
      </c>
      <c r="I132" s="4">
        <v>5.7179426430718197</v>
      </c>
      <c r="J132" s="4">
        <v>3.6744160003271995</v>
      </c>
      <c r="K132" s="4">
        <v>2.1455700314611601</v>
      </c>
      <c r="L132" s="4">
        <v>0.45370436863867797</v>
      </c>
      <c r="M132" s="4">
        <v>0.45370436863867797</v>
      </c>
      <c r="N132" s="4">
        <v>0.45370436863867797</v>
      </c>
    </row>
    <row r="133" spans="1:14" x14ac:dyDescent="0.3">
      <c r="A133" t="s">
        <v>178</v>
      </c>
      <c r="B133" s="18">
        <v>2964148.20888191</v>
      </c>
      <c r="C133" s="18">
        <v>0.59282964177638198</v>
      </c>
      <c r="D133" s="18">
        <v>533189.39974481601</v>
      </c>
      <c r="E133" s="18">
        <v>4047.2880061498654</v>
      </c>
      <c r="F133" s="4">
        <v>3.1195403016118002</v>
      </c>
      <c r="G133" s="4">
        <v>0.56631003190283602</v>
      </c>
      <c r="H133" s="4">
        <v>2.15508060123098</v>
      </c>
      <c r="I133" s="4">
        <v>0.83480731919204798</v>
      </c>
      <c r="J133" s="4">
        <v>2.15508060123098</v>
      </c>
      <c r="K133" s="4">
        <v>0.60688029189255999</v>
      </c>
      <c r="L133" s="4">
        <v>2.3090055916502599</v>
      </c>
      <c r="M133" s="4">
        <v>2.3090055916502599</v>
      </c>
      <c r="N133" s="4">
        <v>0.60688029189255999</v>
      </c>
    </row>
    <row r="134" spans="1:14" x14ac:dyDescent="0.3">
      <c r="A134" t="s">
        <v>179</v>
      </c>
      <c r="B134" s="18">
        <v>4156259.0922843399</v>
      </c>
      <c r="C134" s="18">
        <v>0.83125181845686802</v>
      </c>
      <c r="D134" s="18">
        <v>1130992.89799085</v>
      </c>
      <c r="E134" s="18">
        <v>6122.6549259247204</v>
      </c>
      <c r="F134" s="4">
        <v>0.73069887548313195</v>
      </c>
      <c r="G134" s="4">
        <v>0.46192463264249795</v>
      </c>
      <c r="H134" s="4">
        <v>1.206061703916796</v>
      </c>
      <c r="I134" s="4">
        <v>0.83048251341747203</v>
      </c>
      <c r="J134" s="4">
        <v>1.206061703916796</v>
      </c>
      <c r="K134" s="4">
        <v>1.0452397905159481</v>
      </c>
      <c r="L134" s="4">
        <v>0.46192463264249795</v>
      </c>
      <c r="M134" s="4">
        <v>0.726536361890468</v>
      </c>
      <c r="N134" s="4">
        <v>0.726536361890468</v>
      </c>
    </row>
    <row r="135" spans="1:14" x14ac:dyDescent="0.3">
      <c r="A135" t="s">
        <v>180</v>
      </c>
      <c r="B135" s="18">
        <v>194160.48119068801</v>
      </c>
      <c r="C135" s="18">
        <v>3.8832096238137603E-2</v>
      </c>
      <c r="D135" s="18">
        <v>68929.299161782707</v>
      </c>
      <c r="E135" s="18">
        <v>7987.7698161292619</v>
      </c>
      <c r="F135" s="4">
        <v>0.46454691799520803</v>
      </c>
      <c r="G135" s="4">
        <v>0.56361522136839204</v>
      </c>
      <c r="H135" s="4">
        <v>0.41909964066099598</v>
      </c>
      <c r="I135" s="4">
        <v>0.301642372051034</v>
      </c>
      <c r="J135" s="4">
        <v>0.46454691799520803</v>
      </c>
      <c r="K135" s="4">
        <v>0.20292076346334401</v>
      </c>
      <c r="L135" s="4">
        <v>0.56361522136839204</v>
      </c>
      <c r="M135" s="4">
        <v>0.56361522136839204</v>
      </c>
      <c r="N135" s="4">
        <v>2.7552712941780001E-2</v>
      </c>
    </row>
    <row r="136" spans="1:14" x14ac:dyDescent="0.3">
      <c r="A136" t="s">
        <v>217</v>
      </c>
      <c r="B136" s="18">
        <v>0</v>
      </c>
      <c r="C136" s="18">
        <v>0</v>
      </c>
      <c r="D136" s="18">
        <v>0</v>
      </c>
      <c r="E136" s="18"/>
      <c r="F136" s="4">
        <v>2.1571892848634998E-2</v>
      </c>
      <c r="G136" s="4">
        <v>0.1121334521035814</v>
      </c>
      <c r="H136" s="4">
        <v>3.0496376940073802E-2</v>
      </c>
      <c r="I136" s="4">
        <v>0.1428594384269094</v>
      </c>
      <c r="J136" s="4">
        <v>1.7600890352807479E-2</v>
      </c>
      <c r="K136" s="4">
        <v>1.02544574368672E-2</v>
      </c>
      <c r="L136" s="4"/>
      <c r="M136" s="4"/>
      <c r="N136" s="4"/>
    </row>
    <row r="137" spans="1:14" x14ac:dyDescent="0.3">
      <c r="A137" t="s">
        <v>181</v>
      </c>
      <c r="B137" s="18">
        <v>1537149.6866363599</v>
      </c>
      <c r="C137" s="18">
        <v>0.30742993732727197</v>
      </c>
      <c r="D137" s="18">
        <v>339056.52421519201</v>
      </c>
      <c r="E137" s="18">
        <v>4962.9335784046789</v>
      </c>
      <c r="F137" s="4">
        <v>0.69656472860294194</v>
      </c>
      <c r="G137" s="4">
        <v>1.0913455527613158</v>
      </c>
      <c r="H137" s="4">
        <v>4.8633900306345206</v>
      </c>
      <c r="I137" s="4">
        <v>0.59187094176214805</v>
      </c>
      <c r="J137" s="4">
        <v>4.8633900306345206</v>
      </c>
      <c r="K137" s="4">
        <v>1.2160344580418481</v>
      </c>
      <c r="L137" s="4">
        <v>0.69656472860294194</v>
      </c>
      <c r="M137" s="4">
        <v>0.69656472860294194</v>
      </c>
      <c r="N137" s="4">
        <v>2.1773384577835198</v>
      </c>
    </row>
    <row r="138" spans="1:14" x14ac:dyDescent="0.3">
      <c r="A138" t="s">
        <v>182</v>
      </c>
      <c r="B138" s="18">
        <v>2276301.27003578</v>
      </c>
      <c r="C138" s="18">
        <v>0.45526025400715603</v>
      </c>
      <c r="D138" s="18">
        <v>435982.28577890398</v>
      </c>
      <c r="E138" s="18">
        <v>4309.4477691308184</v>
      </c>
      <c r="F138" s="4">
        <v>7.6631724795958593</v>
      </c>
      <c r="G138" s="4">
        <v>3.3828666047900602</v>
      </c>
      <c r="H138" s="4">
        <v>19.346098449754361</v>
      </c>
      <c r="I138" s="4">
        <v>2.6247897834571599</v>
      </c>
      <c r="J138" s="4">
        <v>19.346098449754361</v>
      </c>
      <c r="K138" s="4">
        <v>3.4531159881902398</v>
      </c>
      <c r="L138" s="4">
        <v>7.6631724795958593</v>
      </c>
      <c r="M138" s="4">
        <v>8.7970971243664202</v>
      </c>
      <c r="N138" s="4">
        <v>3.4531159881902398</v>
      </c>
    </row>
    <row r="139" spans="1:14" x14ac:dyDescent="0.3">
      <c r="A139" t="s">
        <v>184</v>
      </c>
      <c r="B139" s="18">
        <v>17058.295504998201</v>
      </c>
      <c r="C139" s="18">
        <v>3.4116591009996401E-3</v>
      </c>
      <c r="D139" s="18">
        <v>5201.6336488830402</v>
      </c>
      <c r="E139" s="18">
        <v>6860.9877854194647</v>
      </c>
      <c r="F139" s="4">
        <v>2.6540193107399798E-2</v>
      </c>
      <c r="G139" s="4">
        <v>0.15540004609277239</v>
      </c>
      <c r="H139" s="4">
        <v>0.25762559642236199</v>
      </c>
      <c r="I139" s="4">
        <v>0.36487386341454803</v>
      </c>
      <c r="J139" s="4">
        <v>0.28917862830712598</v>
      </c>
      <c r="K139" s="4">
        <v>1.1635156305003161E-2</v>
      </c>
      <c r="L139" s="4">
        <v>3.79977383875226E-2</v>
      </c>
      <c r="M139" s="4">
        <v>3.4501315234904198E-2</v>
      </c>
      <c r="N139" s="4">
        <v>3.4501315234904198E-2</v>
      </c>
    </row>
    <row r="140" spans="1:14" x14ac:dyDescent="0.3">
      <c r="A140" t="s">
        <v>187</v>
      </c>
      <c r="B140" s="18">
        <v>0</v>
      </c>
      <c r="C140" s="18">
        <v>0</v>
      </c>
      <c r="D140" s="18">
        <v>0</v>
      </c>
      <c r="E140" s="18"/>
      <c r="F140" s="4">
        <v>5.2439068164062399E-3</v>
      </c>
      <c r="G140" s="4">
        <v>1.8378790820312478E-3</v>
      </c>
      <c r="H140" s="4">
        <v>7.3338568164062392E-3</v>
      </c>
      <c r="I140" s="4">
        <v>8.7425407031249992E-3</v>
      </c>
      <c r="J140" s="4">
        <v>7.3338568164062392E-3</v>
      </c>
      <c r="K140" s="4">
        <v>9.02286956054686E-3</v>
      </c>
      <c r="L140" s="4"/>
      <c r="M140" s="4"/>
      <c r="N140" s="4"/>
    </row>
    <row r="141" spans="1:14" x14ac:dyDescent="0.3">
      <c r="A141" t="s">
        <v>221</v>
      </c>
      <c r="B141" s="18">
        <v>0</v>
      </c>
      <c r="C141" s="18">
        <v>0</v>
      </c>
      <c r="D141" s="18">
        <v>0</v>
      </c>
      <c r="E141" s="18"/>
      <c r="F141" s="4">
        <v>4.2012467510986204E-3</v>
      </c>
      <c r="G141" s="4">
        <v>2.3587074932861201E-3</v>
      </c>
      <c r="H141" s="4">
        <v>4.73791589172362E-3</v>
      </c>
      <c r="I141" s="4">
        <v>7.60193346984862E-3</v>
      </c>
      <c r="J141" s="4"/>
      <c r="K141" s="4"/>
      <c r="L141" s="4"/>
      <c r="M141" s="4"/>
      <c r="N141" s="4"/>
    </row>
    <row r="142" spans="1:14" x14ac:dyDescent="0.3">
      <c r="A142" t="s">
        <v>185</v>
      </c>
      <c r="B142" s="18">
        <v>874896.06861412595</v>
      </c>
      <c r="C142" s="18">
        <v>0.17497921372282518</v>
      </c>
      <c r="D142" s="18">
        <v>315409.56540389103</v>
      </c>
      <c r="E142" s="18">
        <v>8111.4951548805775</v>
      </c>
      <c r="F142" s="4">
        <v>3.0670446025390201</v>
      </c>
      <c r="G142" s="4">
        <v>4.6297729653483799</v>
      </c>
      <c r="H142" s="4">
        <v>3.8352679478276404</v>
      </c>
      <c r="I142" s="4">
        <v>3.7554361732182198</v>
      </c>
      <c r="J142" s="4">
        <v>3.0670446025390201</v>
      </c>
      <c r="K142" s="4">
        <v>2.1282589739602202</v>
      </c>
      <c r="L142" s="4">
        <v>4.6297729653483799</v>
      </c>
      <c r="M142" s="4">
        <v>1.4241647653028719</v>
      </c>
      <c r="N142" s="4">
        <v>1.4241647653028719</v>
      </c>
    </row>
    <row r="143" spans="1:14" x14ac:dyDescent="0.3">
      <c r="A143" t="s">
        <v>186</v>
      </c>
      <c r="B143" s="18">
        <v>38415.121057090902</v>
      </c>
      <c r="C143" s="18">
        <v>7.6830242114181808E-3</v>
      </c>
      <c r="D143" s="18">
        <v>13636.171658310101</v>
      </c>
      <c r="E143" s="18">
        <v>7986.7993089492984</v>
      </c>
      <c r="F143" s="4">
        <v>0.59351799622934198</v>
      </c>
      <c r="G143" s="4">
        <v>0.53124509135587805</v>
      </c>
      <c r="H143" s="4">
        <v>0.80461305816238404</v>
      </c>
      <c r="I143" s="4">
        <v>0.41290238254042999</v>
      </c>
      <c r="J143" s="4">
        <v>0.84816245531079004</v>
      </c>
      <c r="K143" s="4">
        <v>7.3691753047623806E-2</v>
      </c>
      <c r="L143" s="4">
        <v>0.17726801834985639</v>
      </c>
      <c r="M143" s="4">
        <v>0.369532455710958</v>
      </c>
      <c r="N143" s="4">
        <v>0.369532455710958</v>
      </c>
    </row>
    <row r="144" spans="1:14" x14ac:dyDescent="0.3">
      <c r="A144" t="s">
        <v>188</v>
      </c>
      <c r="B144" s="18">
        <v>309517.65414499899</v>
      </c>
      <c r="C144" s="18">
        <v>6.1903530828999798E-2</v>
      </c>
      <c r="D144" s="18">
        <v>71964.8159587462</v>
      </c>
      <c r="E144" s="18">
        <v>5231.3925793494245</v>
      </c>
      <c r="F144" s="4">
        <v>0.30158268801555599</v>
      </c>
      <c r="G144" s="4">
        <v>0.40202299280537601</v>
      </c>
      <c r="H144" s="4">
        <v>1.3674106265989681</v>
      </c>
      <c r="I144" s="4">
        <v>0.31975815356708404</v>
      </c>
      <c r="J144" s="4">
        <v>1.3674106265989681</v>
      </c>
      <c r="K144" s="4">
        <v>0.90481547713783195</v>
      </c>
      <c r="L144" s="4">
        <v>0.30158268801555599</v>
      </c>
      <c r="M144" s="4">
        <v>0.30158268801555599</v>
      </c>
      <c r="N144" s="4">
        <v>0.65209200323461392</v>
      </c>
    </row>
    <row r="145" spans="1:14" x14ac:dyDescent="0.3">
      <c r="A145" t="s">
        <v>218</v>
      </c>
      <c r="B145" s="18">
        <v>9994.2489833277195</v>
      </c>
      <c r="C145" s="18">
        <v>1.9988497966655439E-3</v>
      </c>
      <c r="D145" s="18">
        <v>2929.05846508076</v>
      </c>
      <c r="E145" s="18">
        <v>6594.1738668165071</v>
      </c>
      <c r="F145" s="4">
        <v>0.13648744688106759</v>
      </c>
      <c r="G145" s="4">
        <v>0.27825763311580398</v>
      </c>
      <c r="H145" s="4">
        <v>0.313063126118586</v>
      </c>
      <c r="I145" s="4">
        <v>0.36724288573699199</v>
      </c>
      <c r="J145" s="4">
        <v>0.29235673111458405</v>
      </c>
      <c r="K145" s="4">
        <v>2.06509517793712E-2</v>
      </c>
      <c r="L145" s="4">
        <v>8.0431411390075001E-3</v>
      </c>
      <c r="M145" s="4">
        <v>8.1686066864626802E-2</v>
      </c>
      <c r="N145" s="4">
        <v>8.0431411390075001E-3</v>
      </c>
    </row>
    <row r="146" spans="1:14" x14ac:dyDescent="0.3">
      <c r="A146" t="s">
        <v>219</v>
      </c>
      <c r="B146" s="18">
        <v>3170198.58476236</v>
      </c>
      <c r="C146" s="18">
        <v>0.63403971695247197</v>
      </c>
      <c r="D146" s="18">
        <v>887861.38035699097</v>
      </c>
      <c r="E146" s="18">
        <v>6301.4604681396568</v>
      </c>
      <c r="F146" s="4">
        <v>0.61379150187499998</v>
      </c>
      <c r="G146" s="4">
        <v>0.42160950491516003</v>
      </c>
      <c r="H146" s="4">
        <v>0.58983675988992601</v>
      </c>
      <c r="I146" s="4">
        <v>1.5914261435813322</v>
      </c>
      <c r="J146" s="4">
        <v>0.61379150187499998</v>
      </c>
      <c r="K146" s="4">
        <v>0.48036273728250395</v>
      </c>
      <c r="L146" s="4">
        <v>0.42160950491516003</v>
      </c>
      <c r="M146" s="4">
        <v>0.42160950491516003</v>
      </c>
      <c r="N146" s="4">
        <v>0.42160950491516003</v>
      </c>
    </row>
    <row r="147" spans="1:14" x14ac:dyDescent="0.3">
      <c r="A147" t="s">
        <v>189</v>
      </c>
      <c r="B147" s="18">
        <v>646613.41862906097</v>
      </c>
      <c r="C147" s="18">
        <v>0.12932268372581218</v>
      </c>
      <c r="D147" s="18">
        <v>127289.179241989</v>
      </c>
      <c r="E147" s="18">
        <v>4429.240795863735</v>
      </c>
      <c r="F147" s="4">
        <v>0.11560966576625818</v>
      </c>
      <c r="G147" s="4">
        <v>0.10555953159358961</v>
      </c>
      <c r="H147" s="4">
        <v>1.3401471680770478</v>
      </c>
      <c r="I147" s="4">
        <v>0.23035844596715802</v>
      </c>
      <c r="J147" s="4">
        <v>1.3401471680770478</v>
      </c>
      <c r="K147" s="4">
        <v>0.26856870799222798</v>
      </c>
      <c r="L147" s="4">
        <v>0.29792584956185597</v>
      </c>
      <c r="M147" s="4">
        <v>0.29792584956185597</v>
      </c>
      <c r="N147" s="4">
        <v>0.38514386188157002</v>
      </c>
    </row>
    <row r="148" spans="1:14" x14ac:dyDescent="0.3">
      <c r="A148" t="s">
        <v>191</v>
      </c>
      <c r="B148" s="18">
        <v>877901.59675152297</v>
      </c>
      <c r="C148" s="18">
        <v>0.1755803193503046</v>
      </c>
      <c r="D148" s="18">
        <v>187656.39714630801</v>
      </c>
      <c r="E148" s="18">
        <v>4809.5013739757214</v>
      </c>
      <c r="F148" s="4">
        <v>0.11110708306198121</v>
      </c>
      <c r="G148" s="4">
        <v>7.0857427993583591E-2</v>
      </c>
      <c r="H148" s="4">
        <v>0.29906546244552601</v>
      </c>
      <c r="I148" s="4">
        <v>0.12633702079009282</v>
      </c>
      <c r="J148" s="4">
        <v>0.29906546244552601</v>
      </c>
      <c r="K148" s="4">
        <v>0.23753674548883602</v>
      </c>
      <c r="L148" s="4">
        <v>0.15220698997373799</v>
      </c>
      <c r="M148" s="4">
        <v>0.15220698997373799</v>
      </c>
      <c r="N148" s="4">
        <v>0.15220698997373799</v>
      </c>
    </row>
    <row r="149" spans="1:14" x14ac:dyDescent="0.3">
      <c r="A149" t="s">
        <v>227</v>
      </c>
      <c r="B149" s="18">
        <v>0</v>
      </c>
      <c r="C149" s="18">
        <v>0</v>
      </c>
      <c r="D149" s="18">
        <v>0</v>
      </c>
      <c r="E149" s="18"/>
      <c r="F149" s="4">
        <v>1.184042845993488E-2</v>
      </c>
      <c r="G149" s="4">
        <v>6.9399034176502394E-2</v>
      </c>
      <c r="H149" s="4">
        <v>2.6242002491944999E-2</v>
      </c>
      <c r="I149" s="4">
        <v>4.9070992548409596E-2</v>
      </c>
      <c r="J149" s="4"/>
      <c r="K149" s="4"/>
      <c r="L149" s="4"/>
      <c r="M149" s="4"/>
      <c r="N149" s="4"/>
    </row>
    <row r="150" spans="1:14" x14ac:dyDescent="0.3">
      <c r="A150" t="s">
        <v>192</v>
      </c>
      <c r="B150" s="18">
        <v>7281.9682463448698</v>
      </c>
      <c r="C150" s="18">
        <v>1.4563936492689739E-3</v>
      </c>
      <c r="D150" s="18">
        <v>2605.74861484752</v>
      </c>
      <c r="E150" s="18">
        <v>8051.3045169481165</v>
      </c>
      <c r="F150" s="4">
        <v>0.17793083467636561</v>
      </c>
      <c r="G150" s="4">
        <v>0.26824602412256998</v>
      </c>
      <c r="H150" s="4">
        <v>0.52821992042423405</v>
      </c>
      <c r="I150" s="4">
        <v>1.2005232682715601</v>
      </c>
      <c r="J150" s="4">
        <v>1.2131239760583219</v>
      </c>
      <c r="K150" s="4">
        <v>1.4601920856557182E-2</v>
      </c>
      <c r="L150" s="4">
        <v>5.6342579871118605E-2</v>
      </c>
      <c r="M150" s="4">
        <v>0.18696902349015862</v>
      </c>
      <c r="N150" s="4">
        <v>0.18696902349015862</v>
      </c>
    </row>
    <row r="151" spans="1:14" x14ac:dyDescent="0.3">
      <c r="A151" t="s">
        <v>193</v>
      </c>
      <c r="B151" s="18">
        <v>16194637.6218968</v>
      </c>
      <c r="C151" s="18">
        <v>3.2389275243793598</v>
      </c>
      <c r="D151" s="18">
        <v>5221101.0897188699</v>
      </c>
      <c r="E151" s="18">
        <v>7253.9304219957785</v>
      </c>
      <c r="F151" s="4">
        <v>3.2529750780284399</v>
      </c>
      <c r="G151" s="4">
        <v>3.7225486197836801</v>
      </c>
      <c r="H151" s="4">
        <v>5.5899972048681805</v>
      </c>
      <c r="I151" s="4">
        <v>8.5745080078101985</v>
      </c>
      <c r="J151" s="4">
        <v>3.7803476625574604</v>
      </c>
      <c r="K151" s="4">
        <v>3.7803476625574604</v>
      </c>
      <c r="L151" s="4">
        <v>4.0103995019221204</v>
      </c>
      <c r="M151" s="4">
        <v>4.0103995019221204</v>
      </c>
      <c r="N151" s="4">
        <v>3.7803476625574604</v>
      </c>
    </row>
    <row r="152" spans="1:14" x14ac:dyDescent="0.3">
      <c r="A152" t="s">
        <v>220</v>
      </c>
      <c r="B152" s="18">
        <v>19121.980167107999</v>
      </c>
      <c r="C152" s="18">
        <v>3.8243960334215996E-3</v>
      </c>
      <c r="D152" s="18">
        <v>6397.59273221074</v>
      </c>
      <c r="E152" s="18">
        <v>7527.7683177574363</v>
      </c>
      <c r="F152" s="4">
        <v>5.4821832034432798E-2</v>
      </c>
      <c r="G152" s="4">
        <v>0.1037116175844404</v>
      </c>
      <c r="H152" s="4">
        <v>0.12696636951315118</v>
      </c>
      <c r="I152" s="4">
        <v>0.15455493290887759</v>
      </c>
      <c r="J152" s="4">
        <v>8.4474657330533998E-2</v>
      </c>
      <c r="K152" s="4">
        <v>2.43269733013628E-3</v>
      </c>
      <c r="L152" s="4"/>
      <c r="M152" s="4"/>
      <c r="N152" s="4"/>
    </row>
    <row r="153" spans="1:14" x14ac:dyDescent="0.3">
      <c r="A153" t="s">
        <v>194</v>
      </c>
      <c r="B153" s="18">
        <v>18589590.249057401</v>
      </c>
      <c r="C153" s="18">
        <v>3.7179180498114803</v>
      </c>
      <c r="D153" s="18">
        <v>5134939.3731385898</v>
      </c>
      <c r="E153" s="18">
        <v>6215.0985765528985</v>
      </c>
      <c r="F153" s="4">
        <v>3.8883609259823797</v>
      </c>
      <c r="G153" s="4">
        <v>2.6952377248819599</v>
      </c>
      <c r="H153" s="4">
        <v>6.8028892275564807</v>
      </c>
      <c r="I153" s="4">
        <v>3.8106970436401397</v>
      </c>
      <c r="J153" s="4">
        <v>6.8028892275564807</v>
      </c>
      <c r="K153" s="4">
        <v>8.4228042173216995</v>
      </c>
      <c r="L153" s="4">
        <v>2.6952377248819599</v>
      </c>
      <c r="M153" s="4">
        <v>3.8807423524129199</v>
      </c>
      <c r="N153" s="4">
        <v>3.8807423524129199</v>
      </c>
    </row>
    <row r="154" spans="1:14" x14ac:dyDescent="0.3">
      <c r="A154" t="s">
        <v>195</v>
      </c>
      <c r="B154" s="18">
        <v>1075932.6263830599</v>
      </c>
      <c r="C154" s="18">
        <v>0.21518652527661197</v>
      </c>
      <c r="D154" s="18">
        <v>315015.90513846203</v>
      </c>
      <c r="E154" s="18">
        <v>6587.6409840293618</v>
      </c>
      <c r="F154" s="4">
        <v>0.89334132781910391</v>
      </c>
      <c r="G154" s="4">
        <v>0.52378113200038401</v>
      </c>
      <c r="H154" s="4">
        <v>0.84938989461147596</v>
      </c>
      <c r="I154" s="4">
        <v>0.94105397069698793</v>
      </c>
      <c r="J154" s="4">
        <v>0.89334132781910391</v>
      </c>
      <c r="K154" s="4">
        <v>0.17223677928362841</v>
      </c>
      <c r="L154" s="4">
        <v>0.17223677928362841</v>
      </c>
      <c r="M154" s="4">
        <v>0.17223677928362841</v>
      </c>
      <c r="N154" s="4">
        <v>0.17223677928362841</v>
      </c>
    </row>
    <row r="155" spans="1:14" x14ac:dyDescent="0.3">
      <c r="A155" t="s">
        <v>197</v>
      </c>
      <c r="B155" s="18">
        <v>49972.711494200201</v>
      </c>
      <c r="C155" s="18">
        <v>9.9945422988400399E-3</v>
      </c>
      <c r="D155" s="18">
        <v>18767.138939594101</v>
      </c>
      <c r="E155" s="18">
        <v>8449.8241843425803</v>
      </c>
      <c r="F155" s="4">
        <v>1.1283845063800582</v>
      </c>
      <c r="G155" s="4">
        <v>1.2507651467954981</v>
      </c>
      <c r="H155" s="4">
        <v>1.895258297033634</v>
      </c>
      <c r="I155" s="4">
        <v>2.9487552937731603</v>
      </c>
      <c r="J155" s="4">
        <v>58.630243906863001</v>
      </c>
      <c r="K155" s="4">
        <v>0.1492610962683506</v>
      </c>
      <c r="L155" s="4">
        <v>0.49225247159320795</v>
      </c>
      <c r="M155" s="4">
        <v>0.75456612742048601</v>
      </c>
      <c r="N155" s="4">
        <v>0.75456612742048601</v>
      </c>
    </row>
    <row r="156" spans="1:14" x14ac:dyDescent="0.3">
      <c r="A156" t="s">
        <v>198</v>
      </c>
      <c r="B156" s="18">
        <v>11436.8362717868</v>
      </c>
      <c r="C156" s="18">
        <v>2.28736725435736E-3</v>
      </c>
      <c r="D156" s="18">
        <v>3397.59993527407</v>
      </c>
      <c r="E156" s="18">
        <v>6684.1910408605745</v>
      </c>
      <c r="F156" s="4">
        <v>8.1957559360795004E-2</v>
      </c>
      <c r="G156" s="4">
        <v>7.9524911755905606E-2</v>
      </c>
      <c r="H156" s="4">
        <v>0.12918529603437359</v>
      </c>
      <c r="I156" s="4">
        <v>0.21793366962822</v>
      </c>
      <c r="J156" s="4">
        <v>7.9524911755905606E-2</v>
      </c>
      <c r="K156" s="4">
        <v>1.7190051436932679E-2</v>
      </c>
      <c r="L156" s="4">
        <v>1.2897264042345881E-2</v>
      </c>
      <c r="M156" s="4">
        <v>1.2897264042345881E-2</v>
      </c>
      <c r="N156" s="4">
        <v>1.511328922421276E-2</v>
      </c>
    </row>
    <row r="157" spans="1:14" x14ac:dyDescent="0.3">
      <c r="A157" t="s">
        <v>222</v>
      </c>
      <c r="B157" s="18">
        <v>42294.666660283598</v>
      </c>
      <c r="C157" s="18">
        <v>8.458933332056719E-3</v>
      </c>
      <c r="D157" s="18">
        <v>11678.4591833698</v>
      </c>
      <c r="E157" s="18">
        <v>6212.7296979637322</v>
      </c>
      <c r="F157" s="4">
        <v>5.55684065490722E-3</v>
      </c>
      <c r="G157" s="4">
        <v>7.5809072206115598E-3</v>
      </c>
      <c r="H157" s="4">
        <v>4.0713976247939994E-2</v>
      </c>
      <c r="I157" s="4">
        <v>6.6050587127761795E-2</v>
      </c>
      <c r="J157" s="4">
        <v>3.6422180912017801E-3</v>
      </c>
      <c r="K157" s="4">
        <v>3.6422180912017801E-3</v>
      </c>
      <c r="L157" s="4">
        <v>3.6273309461211998E-3</v>
      </c>
      <c r="M157" s="4">
        <v>3.6273309461211998E-3</v>
      </c>
      <c r="N157" s="4">
        <v>3.6273309461211998E-3</v>
      </c>
    </row>
    <row r="158" spans="1:14" x14ac:dyDescent="0.3">
      <c r="A158" t="s">
        <v>199</v>
      </c>
      <c r="B158" s="18">
        <v>1476704.4032461799</v>
      </c>
      <c r="C158" s="18">
        <v>0.29534088064923597</v>
      </c>
      <c r="D158" s="18">
        <v>245651.51289674599</v>
      </c>
      <c r="E158" s="18">
        <v>3742.9014419044552</v>
      </c>
      <c r="F158" s="4">
        <v>1.1525454080117821</v>
      </c>
      <c r="G158" s="4">
        <v>0.23249706233179002</v>
      </c>
      <c r="H158" s="4">
        <v>0.55909506574608203</v>
      </c>
      <c r="I158" s="4">
        <v>0.25902069945578998</v>
      </c>
      <c r="J158" s="4">
        <v>0.55909506574608203</v>
      </c>
      <c r="K158" s="4">
        <v>0.27010340278989597</v>
      </c>
      <c r="L158" s="4">
        <v>0.73980386778481999</v>
      </c>
      <c r="M158" s="4">
        <v>0.55909506574608203</v>
      </c>
      <c r="N158" s="4">
        <v>0.27010340278989597</v>
      </c>
    </row>
    <row r="159" spans="1:14" x14ac:dyDescent="0.3">
      <c r="A159" t="s">
        <v>200</v>
      </c>
      <c r="B159" s="18">
        <v>3799588.6834162902</v>
      </c>
      <c r="C159" s="18">
        <v>0.75991773668325802</v>
      </c>
      <c r="D159" s="18">
        <v>813737.09619229205</v>
      </c>
      <c r="E159" s="18">
        <v>4818.7017569134578</v>
      </c>
      <c r="F159" s="4">
        <v>0.52130263902810003</v>
      </c>
      <c r="G159" s="4">
        <v>0.308225056179604</v>
      </c>
      <c r="H159" s="4">
        <v>0.75247637045844995</v>
      </c>
      <c r="I159" s="4">
        <v>0.59623626988710798</v>
      </c>
      <c r="J159" s="4">
        <v>0.75247637045844995</v>
      </c>
      <c r="K159" s="4">
        <v>0.75247637045844995</v>
      </c>
      <c r="L159" s="4">
        <v>0.79953656806414597</v>
      </c>
      <c r="M159" s="4">
        <v>0.79953656806414597</v>
      </c>
      <c r="N159" s="4">
        <v>0.79953656806414597</v>
      </c>
    </row>
    <row r="160" spans="1:14" x14ac:dyDescent="0.3">
      <c r="A160" t="s">
        <v>223</v>
      </c>
      <c r="B160" s="18">
        <v>924751.58117104799</v>
      </c>
      <c r="C160" s="18">
        <v>0.1849503162342096</v>
      </c>
      <c r="D160" s="18">
        <v>298008.48141924501</v>
      </c>
      <c r="E160" s="18">
        <v>7250.8022353873412</v>
      </c>
      <c r="F160" s="4">
        <v>0.60182173975511999</v>
      </c>
      <c r="G160" s="4">
        <v>0.91365434903162202</v>
      </c>
      <c r="H160" s="4">
        <v>1.400678889419088</v>
      </c>
      <c r="I160" s="4">
        <v>1.55256153038753</v>
      </c>
      <c r="J160" s="4">
        <v>0.60182173975511999</v>
      </c>
      <c r="K160" s="4">
        <v>1.0481781152621301</v>
      </c>
      <c r="L160" s="4"/>
      <c r="M160" s="4"/>
      <c r="N160" s="4"/>
    </row>
    <row r="161" spans="1:14" x14ac:dyDescent="0.3">
      <c r="A161" t="s">
        <v>224</v>
      </c>
      <c r="B161" s="18">
        <v>85388.874418474603</v>
      </c>
      <c r="C161" s="18">
        <v>1.707777488369492E-2</v>
      </c>
      <c r="D161" s="18">
        <v>24386.585487712098</v>
      </c>
      <c r="E161" s="18">
        <v>6425.8742981486912</v>
      </c>
      <c r="F161" s="4">
        <v>0.12616150739421339</v>
      </c>
      <c r="G161" s="4">
        <v>0.35888560526232</v>
      </c>
      <c r="H161" s="4">
        <v>0.79997303673525799</v>
      </c>
      <c r="I161" s="4">
        <v>0.56698729211462806</v>
      </c>
      <c r="J161" s="4">
        <v>0.12616150739421339</v>
      </c>
      <c r="K161" s="4">
        <v>4.02102815443336E-2</v>
      </c>
      <c r="L161" s="4">
        <v>0.1283611903323672</v>
      </c>
      <c r="M161" s="4">
        <v>0.1283611903323672</v>
      </c>
      <c r="N161" s="4">
        <v>0.1283611903323672</v>
      </c>
    </row>
    <row r="162" spans="1:14" x14ac:dyDescent="0.3">
      <c r="A162" t="s">
        <v>225</v>
      </c>
      <c r="B162" s="18">
        <v>110990.751203808</v>
      </c>
      <c r="C162" s="18">
        <v>2.2198150240761601E-2</v>
      </c>
      <c r="D162" s="18">
        <v>36429.269385159198</v>
      </c>
      <c r="E162" s="18">
        <v>7384.926692323892</v>
      </c>
      <c r="F162" s="4">
        <v>0.505550031916704</v>
      </c>
      <c r="G162" s="4">
        <v>0.84029498283134196</v>
      </c>
      <c r="H162" s="4">
        <v>1.180254590471564</v>
      </c>
      <c r="I162" s="4">
        <v>2.1912221400205398</v>
      </c>
      <c r="J162" s="4">
        <v>0.88850976427918205</v>
      </c>
      <c r="K162" s="4">
        <v>5.8197258832695602E-2</v>
      </c>
      <c r="L162" s="4">
        <v>0.208225807882124</v>
      </c>
      <c r="M162" s="4">
        <v>0.32121445720910602</v>
      </c>
      <c r="N162" s="4">
        <v>0.32121445720910602</v>
      </c>
    </row>
    <row r="163" spans="1:14" x14ac:dyDescent="0.3">
      <c r="A163" t="s">
        <v>201</v>
      </c>
      <c r="B163" s="18">
        <v>10262427.9737562</v>
      </c>
      <c r="C163" s="18">
        <v>2.0524855947512401</v>
      </c>
      <c r="D163" s="18">
        <v>3079845.95812451</v>
      </c>
      <c r="E163" s="18">
        <v>6752.4502227943931</v>
      </c>
      <c r="F163" s="4">
        <v>4.5724209578780597</v>
      </c>
      <c r="G163" s="4">
        <v>9.7485770670779193</v>
      </c>
      <c r="H163" s="4">
        <v>8.87409845900204</v>
      </c>
      <c r="I163" s="4">
        <v>7.0256631532754197</v>
      </c>
      <c r="J163" s="4">
        <v>4.5724209578780597</v>
      </c>
      <c r="K163" s="4">
        <v>2.3631009369181397</v>
      </c>
      <c r="L163" s="4">
        <v>2.21350416167108</v>
      </c>
      <c r="M163" s="4">
        <v>2.21350416167108</v>
      </c>
      <c r="N163" s="4">
        <v>6.39237092533532</v>
      </c>
    </row>
    <row r="164" spans="1:14" x14ac:dyDescent="0.3">
      <c r="A164" t="s">
        <v>226</v>
      </c>
      <c r="B164" s="18">
        <v>52412.622967436502</v>
      </c>
      <c r="C164" s="18">
        <v>1.0482524593487301E-2</v>
      </c>
      <c r="D164" s="18">
        <v>16309.057897925601</v>
      </c>
      <c r="E164" s="18">
        <v>7001.248591037147</v>
      </c>
      <c r="F164" s="4">
        <v>0.22008803986682399</v>
      </c>
      <c r="G164" s="4">
        <v>0.30518339822576601</v>
      </c>
      <c r="H164" s="4">
        <v>0.37094099585359397</v>
      </c>
      <c r="I164" s="4">
        <v>0.33446157914998603</v>
      </c>
      <c r="J164" s="4">
        <v>0.25552730972078203</v>
      </c>
      <c r="K164" s="4">
        <v>1.6986487764096541E-2</v>
      </c>
      <c r="L164" s="4">
        <v>4.4847906034983398E-2</v>
      </c>
      <c r="M164" s="4">
        <v>0.146873492222272</v>
      </c>
      <c r="N164" s="4">
        <v>0.146873492222272</v>
      </c>
    </row>
    <row r="165" spans="1:14" x14ac:dyDescent="0.3">
      <c r="A165" t="s">
        <v>202</v>
      </c>
      <c r="B165" s="18">
        <v>334044.17671558401</v>
      </c>
      <c r="C165" s="18">
        <v>6.6808835343116796E-2</v>
      </c>
      <c r="D165" s="18">
        <v>100431.625100718</v>
      </c>
      <c r="E165" s="18">
        <v>6764.7087489573159</v>
      </c>
      <c r="F165" s="4">
        <v>0.59768490741536995</v>
      </c>
      <c r="G165" s="4">
        <v>0.36251477918103597</v>
      </c>
      <c r="H165" s="4">
        <v>1.351461946042412</v>
      </c>
      <c r="I165" s="4">
        <v>1.0742123905404739</v>
      </c>
      <c r="J165" s="4"/>
      <c r="K165" s="4">
        <v>7.4416216571583593E-2</v>
      </c>
      <c r="L165" s="4">
        <v>0.178066565306158</v>
      </c>
      <c r="M165" s="4">
        <v>0.178066565306158</v>
      </c>
      <c r="N165" s="4">
        <v>0.178066565306158</v>
      </c>
    </row>
    <row r="166" spans="1:14" x14ac:dyDescent="0.3">
      <c r="A166" t="s">
        <v>203</v>
      </c>
      <c r="B166" s="18">
        <v>14748162.6071794</v>
      </c>
      <c r="C166" s="18">
        <v>2.9496325214358801</v>
      </c>
      <c r="D166" s="18">
        <v>4169700.7490170398</v>
      </c>
      <c r="E166" s="18">
        <v>6361.3528920011158</v>
      </c>
      <c r="F166" s="4">
        <v>3.6047518016287996</v>
      </c>
      <c r="G166" s="4">
        <v>3.3822201597365797</v>
      </c>
      <c r="H166" s="4">
        <v>6.6132289965729196</v>
      </c>
      <c r="I166" s="4">
        <v>6.2174862820357797</v>
      </c>
      <c r="J166" s="4">
        <v>3.6047518016287996</v>
      </c>
      <c r="K166" s="4">
        <v>3.8300730481964798</v>
      </c>
      <c r="L166" s="4">
        <v>3.6047518016287996</v>
      </c>
      <c r="M166" s="4">
        <v>3.8439396658407197</v>
      </c>
      <c r="N166" s="4">
        <v>3.8439396658407197</v>
      </c>
    </row>
    <row r="167" spans="1:14" x14ac:dyDescent="0.3">
      <c r="A167" t="s">
        <v>228</v>
      </c>
      <c r="B167" s="18">
        <v>100383.135066299</v>
      </c>
      <c r="C167" s="18">
        <v>2.0076627013259799E-2</v>
      </c>
      <c r="D167" s="18">
        <v>29739.631247725702</v>
      </c>
      <c r="E167" s="18">
        <v>6665.8777157327004</v>
      </c>
      <c r="F167" s="4">
        <v>0.34852831100138598</v>
      </c>
      <c r="G167" s="4">
        <v>0.27119281011251001</v>
      </c>
      <c r="H167" s="4">
        <v>1.1258287053762481</v>
      </c>
      <c r="I167" s="4">
        <v>0.53175818650157003</v>
      </c>
      <c r="J167" s="4">
        <v>0.34852831100138598</v>
      </c>
      <c r="K167" s="4">
        <v>7.1337352225148601E-2</v>
      </c>
      <c r="L167" s="4">
        <v>0.14372049036353701</v>
      </c>
      <c r="M167" s="4">
        <v>0.14372049036353701</v>
      </c>
      <c r="N167" s="4">
        <v>0.387064929472834</v>
      </c>
    </row>
    <row r="168" spans="1:14" x14ac:dyDescent="0.3">
      <c r="A168" t="s">
        <v>204</v>
      </c>
      <c r="B168" s="18">
        <v>43392.579665136298</v>
      </c>
      <c r="C168" s="18">
        <v>8.6785159330272591E-3</v>
      </c>
      <c r="D168" s="18">
        <v>13226.0936744347</v>
      </c>
      <c r="E168" s="18">
        <v>6858.0183517846172</v>
      </c>
      <c r="F168" s="4">
        <v>9.8943471371416999E-2</v>
      </c>
      <c r="G168" s="4">
        <v>0.53803523756973803</v>
      </c>
      <c r="H168" s="4">
        <v>0.80101751081058592</v>
      </c>
      <c r="I168" s="4">
        <v>0.82922172664639804</v>
      </c>
      <c r="J168" s="4">
        <v>0.81036549619847598</v>
      </c>
      <c r="K168" s="4">
        <v>1.9580657321190239E-2</v>
      </c>
      <c r="L168" s="4">
        <v>7.1129681161731406E-2</v>
      </c>
      <c r="M168" s="4">
        <v>0.12228046857643421</v>
      </c>
      <c r="N168" s="4">
        <v>0.12228046857643421</v>
      </c>
    </row>
    <row r="169" spans="1:14" x14ac:dyDescent="0.3">
      <c r="A169" t="s">
        <v>205</v>
      </c>
      <c r="B169" s="18">
        <v>850378.82055358496</v>
      </c>
      <c r="C169" s="18">
        <v>0.17007576411071698</v>
      </c>
      <c r="D169" s="18">
        <v>172810.34989520899</v>
      </c>
      <c r="E169" s="18">
        <v>4572.3538482661361</v>
      </c>
      <c r="F169" s="4">
        <v>0.91269401321825405</v>
      </c>
      <c r="G169" s="4">
        <v>0.97598443666575196</v>
      </c>
      <c r="H169" s="4">
        <v>5.5840786275800598</v>
      </c>
      <c r="I169" s="4">
        <v>0.84689452621801797</v>
      </c>
      <c r="J169" s="4"/>
      <c r="K169" s="4">
        <v>1.06739801300638</v>
      </c>
      <c r="L169" s="4">
        <v>0.91269401321825405</v>
      </c>
      <c r="M169" s="4">
        <v>2.2898000022550602</v>
      </c>
      <c r="N169" s="4">
        <v>0.1744032514048956</v>
      </c>
    </row>
    <row r="170" spans="1:14" x14ac:dyDescent="0.3">
      <c r="A170" t="s">
        <v>206</v>
      </c>
      <c r="B170" s="18">
        <v>333410.06388466799</v>
      </c>
      <c r="C170" s="18">
        <v>6.66820127769336E-2</v>
      </c>
      <c r="D170" s="18">
        <v>118162.76088233999</v>
      </c>
      <c r="E170" s="18">
        <v>7974.1507766014074</v>
      </c>
      <c r="F170" s="4">
        <v>0.90200806714510395</v>
      </c>
      <c r="G170" s="4">
        <v>0.91604909604983997</v>
      </c>
      <c r="H170" s="4">
        <v>0.94811082455606999</v>
      </c>
      <c r="I170" s="4">
        <v>0.587202577544922</v>
      </c>
      <c r="J170" s="4">
        <v>0.90200806714510395</v>
      </c>
      <c r="K170" s="4">
        <v>0.582871643325652</v>
      </c>
      <c r="L170" s="4">
        <v>0.91604909604983997</v>
      </c>
      <c r="M170" s="4">
        <v>0.36164540138711199</v>
      </c>
      <c r="N170" s="4">
        <v>0.36164540138711199</v>
      </c>
    </row>
    <row r="171" spans="1:14" x14ac:dyDescent="0.3">
      <c r="A171" t="s">
        <v>207</v>
      </c>
      <c r="B171" s="18">
        <v>7010970.7057900503</v>
      </c>
      <c r="C171" s="18">
        <v>1.4021941411580101</v>
      </c>
      <c r="D171" s="18">
        <v>1205926.8408118701</v>
      </c>
      <c r="E171" s="18">
        <v>3870.1279832561331</v>
      </c>
      <c r="F171" s="4">
        <v>4.8406242674039808</v>
      </c>
      <c r="G171" s="4">
        <v>1.6301722525520841</v>
      </c>
      <c r="H171" s="4">
        <v>3.4536049370995796</v>
      </c>
      <c r="I171" s="4">
        <v>2.0203561748012802</v>
      </c>
      <c r="J171" s="4">
        <v>3.4536049370995796</v>
      </c>
      <c r="K171" s="4">
        <v>1.396381425466946</v>
      </c>
      <c r="L171" s="4">
        <v>4.7734806670390997</v>
      </c>
      <c r="M171" s="4">
        <v>3.4536049370995796</v>
      </c>
      <c r="N171" s="4">
        <v>1.396381425466946</v>
      </c>
    </row>
    <row r="172" spans="1:14" x14ac:dyDescent="0.3">
      <c r="A172" t="s">
        <v>209</v>
      </c>
      <c r="B172" s="18">
        <v>121016662.45492899</v>
      </c>
      <c r="C172" s="18">
        <v>24.203332490985797</v>
      </c>
      <c r="D172" s="18">
        <v>34851433.8783198</v>
      </c>
      <c r="E172" s="18">
        <v>6479.7462296090362</v>
      </c>
      <c r="F172" s="4">
        <v>35.6481613881774</v>
      </c>
      <c r="G172" s="4">
        <v>26.096754333318401</v>
      </c>
      <c r="H172" s="4">
        <v>61.676851790402999</v>
      </c>
      <c r="I172" s="4">
        <v>84.358060294667808</v>
      </c>
      <c r="J172" s="4">
        <v>26.096754333318401</v>
      </c>
      <c r="K172" s="4">
        <v>26.096754333318401</v>
      </c>
      <c r="L172" s="4">
        <v>26.096754333318401</v>
      </c>
      <c r="M172" s="4">
        <v>26.096754333318401</v>
      </c>
      <c r="N172" s="4">
        <v>26.096754333318401</v>
      </c>
    </row>
    <row r="173" spans="1:14" x14ac:dyDescent="0.3">
      <c r="A173" t="s">
        <v>210</v>
      </c>
      <c r="B173" s="18">
        <v>186370.832008906</v>
      </c>
      <c r="C173" s="18">
        <v>3.7274166401781203E-2</v>
      </c>
      <c r="D173" s="18">
        <v>53448.494580009297</v>
      </c>
      <c r="E173" s="18">
        <v>6452.6788612111877</v>
      </c>
      <c r="F173" s="4">
        <v>0.30328813153241002</v>
      </c>
      <c r="G173" s="4">
        <v>0.12307584313189381</v>
      </c>
      <c r="H173" s="4">
        <v>0.42630604342601197</v>
      </c>
      <c r="I173" s="4">
        <v>0.32654464839358199</v>
      </c>
      <c r="J173" s="4">
        <v>0.12307584313189381</v>
      </c>
      <c r="K173" s="4">
        <v>0.25075028233886598</v>
      </c>
      <c r="L173" s="4">
        <v>0.30328813153241002</v>
      </c>
      <c r="M173" s="4">
        <v>0.259125767202872</v>
      </c>
      <c r="N173" s="4">
        <v>0.259125767202872</v>
      </c>
    </row>
    <row r="174" spans="1:14" x14ac:dyDescent="0.3">
      <c r="A174" t="s">
        <v>229</v>
      </c>
      <c r="B174" s="18">
        <v>1564220.62774719</v>
      </c>
      <c r="C174" s="18">
        <v>0.31284412554943797</v>
      </c>
      <c r="D174" s="18">
        <v>437626.32669717597</v>
      </c>
      <c r="E174" s="18">
        <v>6294.8871636270678</v>
      </c>
      <c r="F174" s="4">
        <v>1.021972840336894</v>
      </c>
      <c r="G174" s="4">
        <v>1.5244785113595041</v>
      </c>
      <c r="H174" s="4">
        <v>4.0890854893371795</v>
      </c>
      <c r="I174" s="4">
        <v>2.5463375198671798</v>
      </c>
      <c r="J174" s="4">
        <v>1.021972840336894</v>
      </c>
      <c r="K174" s="4">
        <v>0.33436213978437201</v>
      </c>
      <c r="L174" s="4">
        <v>0.60090278165315003</v>
      </c>
      <c r="M174" s="4">
        <v>0.60090278165315003</v>
      </c>
      <c r="N174" s="4">
        <v>0.60090278165315003</v>
      </c>
    </row>
    <row r="175" spans="1:14" x14ac:dyDescent="0.3">
      <c r="A175" t="s">
        <v>232</v>
      </c>
      <c r="B175" s="18">
        <v>0</v>
      </c>
      <c r="C175" s="18">
        <v>0</v>
      </c>
      <c r="D175" s="18">
        <v>0</v>
      </c>
      <c r="E175" s="18"/>
      <c r="F175" s="4">
        <v>1.6293231692361819E-3</v>
      </c>
      <c r="G175" s="4">
        <v>5.2602936031651403E-3</v>
      </c>
      <c r="H175" s="4">
        <v>7.7693934239077399E-3</v>
      </c>
      <c r="I175" s="4">
        <v>2.4167974266052202E-4</v>
      </c>
      <c r="J175" s="4"/>
      <c r="K175" s="4"/>
      <c r="L175" s="4"/>
      <c r="M175" s="4"/>
      <c r="N175" s="4"/>
    </row>
    <row r="176" spans="1:14" x14ac:dyDescent="0.3">
      <c r="A176" t="s">
        <v>211</v>
      </c>
      <c r="B176" s="18">
        <v>239935.20402097699</v>
      </c>
      <c r="C176" s="18">
        <v>4.7987040804195399E-2</v>
      </c>
      <c r="D176" s="18">
        <v>76793.567541829398</v>
      </c>
      <c r="E176" s="18">
        <v>7201.3411985183257</v>
      </c>
      <c r="F176" s="4">
        <v>1.8671937900929481</v>
      </c>
      <c r="G176" s="4">
        <v>2.69189823671186</v>
      </c>
      <c r="H176" s="4">
        <v>3.5399234035540998</v>
      </c>
      <c r="I176" s="4">
        <v>4.5718913925314002</v>
      </c>
      <c r="J176" s="4">
        <v>2.69189823671186</v>
      </c>
      <c r="K176" s="4">
        <v>1.50248380188917</v>
      </c>
      <c r="L176" s="4">
        <v>0.44450969218594599</v>
      </c>
      <c r="M176" s="4">
        <v>0.44450969218594599</v>
      </c>
      <c r="N176" s="4">
        <v>0.44450969218594599</v>
      </c>
    </row>
    <row r="177" spans="1:14" x14ac:dyDescent="0.3">
      <c r="A177" t="s">
        <v>212</v>
      </c>
      <c r="B177" s="18">
        <v>7577523.1106769396</v>
      </c>
      <c r="C177" s="18">
        <v>1.5155046221353878</v>
      </c>
      <c r="D177" s="18">
        <v>2147117.4863832798</v>
      </c>
      <c r="E177" s="18">
        <v>6375.4531313211664</v>
      </c>
      <c r="F177" s="4">
        <v>4.3605433000933997</v>
      </c>
      <c r="G177" s="4">
        <v>8.1127282985802402</v>
      </c>
      <c r="H177" s="4">
        <v>8.6482380132619401</v>
      </c>
      <c r="I177" s="4">
        <v>10.044344671896321</v>
      </c>
      <c r="J177" s="4">
        <v>4.3605433000933997</v>
      </c>
      <c r="K177" s="4">
        <v>3.3366013490720401</v>
      </c>
      <c r="L177" s="4">
        <v>1.4300447764361699</v>
      </c>
      <c r="M177" s="4">
        <v>1.4300447764361699</v>
      </c>
      <c r="N177" s="4">
        <v>1.4300447764361699</v>
      </c>
    </row>
    <row r="178" spans="1:14" x14ac:dyDescent="0.3">
      <c r="A178" t="s">
        <v>236</v>
      </c>
      <c r="B178" s="18">
        <v>0</v>
      </c>
      <c r="C178" s="18">
        <v>0</v>
      </c>
      <c r="D178" s="18">
        <v>0</v>
      </c>
      <c r="E178" s="18"/>
      <c r="F178" s="4">
        <v>2.2786659439748402E-3</v>
      </c>
      <c r="G178" s="4">
        <v>0</v>
      </c>
      <c r="H178" s="4">
        <v>1.558605592412352E-3</v>
      </c>
      <c r="I178" s="4">
        <v>0</v>
      </c>
      <c r="J178" s="4"/>
      <c r="K178" s="4"/>
      <c r="L178" s="4"/>
      <c r="M178" s="4"/>
      <c r="N178" s="4"/>
    </row>
    <row r="179" spans="1:14" x14ac:dyDescent="0.3">
      <c r="A179" t="s">
        <v>237</v>
      </c>
      <c r="B179" s="18">
        <v>24174.217272300699</v>
      </c>
      <c r="C179" s="18">
        <v>4.8348434544601398E-3</v>
      </c>
      <c r="D179" s="18">
        <v>8434.7466650096194</v>
      </c>
      <c r="E179" s="18">
        <v>7850.5871700000071</v>
      </c>
      <c r="F179" s="4">
        <v>2.38729366178894E-2</v>
      </c>
      <c r="G179" s="4">
        <v>2.4734465378722998E-2</v>
      </c>
      <c r="H179" s="4">
        <v>3.4678791045227003E-2</v>
      </c>
      <c r="I179" s="4">
        <v>7.4806092578124997E-3</v>
      </c>
      <c r="J179" s="4">
        <v>2.4734465378722998E-2</v>
      </c>
      <c r="K179" s="4">
        <v>5.4535757284545801E-3</v>
      </c>
      <c r="L179" s="4"/>
      <c r="M179" s="4"/>
      <c r="N179" s="4"/>
    </row>
    <row r="180" spans="1:14" x14ac:dyDescent="0.3">
      <c r="A180" t="s">
        <v>230</v>
      </c>
      <c r="B180" s="18">
        <v>322.44211693903401</v>
      </c>
      <c r="C180" s="18">
        <v>6.4488423387806798E-5</v>
      </c>
      <c r="D180" s="18">
        <v>113.18682131339099</v>
      </c>
      <c r="E180" s="18">
        <v>7898.1725579999757</v>
      </c>
      <c r="F180" s="4">
        <v>1.6580968268628118E-2</v>
      </c>
      <c r="G180" s="4">
        <v>1.3785815405654902E-2</v>
      </c>
      <c r="H180" s="4">
        <v>3.8260266771211596E-2</v>
      </c>
      <c r="I180" s="4">
        <v>5.7504734414334201E-2</v>
      </c>
      <c r="J180" s="4">
        <v>2.01157551479768E-2</v>
      </c>
      <c r="K180" s="4">
        <v>2.0569030473899796E-3</v>
      </c>
      <c r="L180" s="4"/>
      <c r="M180" s="4"/>
      <c r="N180" s="4"/>
    </row>
    <row r="181" spans="1:14" x14ac:dyDescent="0.3">
      <c r="A181" t="s">
        <v>231</v>
      </c>
      <c r="B181" s="18">
        <v>413106.93182537198</v>
      </c>
      <c r="C181" s="18">
        <v>8.2621386365074392E-2</v>
      </c>
      <c r="D181" s="18">
        <v>148936.29970191501</v>
      </c>
      <c r="E181" s="18">
        <v>8111.8627772376522</v>
      </c>
      <c r="F181" s="4">
        <v>0.38722009556879</v>
      </c>
      <c r="G181" s="4">
        <v>0.87659871642216403</v>
      </c>
      <c r="H181" s="4">
        <v>1.342317134236124</v>
      </c>
      <c r="I181" s="4">
        <v>1.499424856612446</v>
      </c>
      <c r="J181" s="4">
        <v>0.38722009556879</v>
      </c>
      <c r="K181" s="4">
        <v>0.45266236474079796</v>
      </c>
      <c r="L181" s="4"/>
      <c r="M181" s="4"/>
      <c r="N181" s="4"/>
    </row>
    <row r="182" spans="1:14" x14ac:dyDescent="0.3">
      <c r="A182" t="s">
        <v>213</v>
      </c>
      <c r="B182" s="18">
        <v>303978.48732884001</v>
      </c>
      <c r="C182" s="18">
        <v>6.0795697465768003E-2</v>
      </c>
      <c r="D182" s="18">
        <v>100788.679675201</v>
      </c>
      <c r="E182" s="18">
        <v>7460.2163877432722</v>
      </c>
      <c r="F182" s="4">
        <v>0.12734070200657599</v>
      </c>
      <c r="G182" s="4">
        <v>0.341176244691896</v>
      </c>
      <c r="H182" s="4">
        <v>0.47801388064612998</v>
      </c>
      <c r="I182" s="4">
        <v>1.2383616009484859</v>
      </c>
      <c r="J182" s="4">
        <v>0.16262432035749519</v>
      </c>
      <c r="K182" s="4">
        <v>4.7923648000235998E-2</v>
      </c>
      <c r="L182" s="4">
        <v>0.1203386125303508</v>
      </c>
      <c r="M182" s="4">
        <v>0.12302103203209841</v>
      </c>
      <c r="N182" s="4">
        <v>0.12302103203209841</v>
      </c>
    </row>
    <row r="183" spans="1:14" x14ac:dyDescent="0.3">
      <c r="A183" t="s">
        <v>242</v>
      </c>
      <c r="B183" s="18">
        <v>202398.939811469</v>
      </c>
      <c r="C183" s="18">
        <v>4.0479787962293796E-2</v>
      </c>
      <c r="D183" s="18">
        <v>66722.358510146907</v>
      </c>
      <c r="E183" s="18">
        <v>7417.2970860257265</v>
      </c>
      <c r="F183" s="4">
        <v>0.15720840718170159</v>
      </c>
      <c r="G183" s="4">
        <v>0.22001288466015001</v>
      </c>
      <c r="H183" s="4">
        <v>0.43804926411081196</v>
      </c>
      <c r="I183" s="4">
        <v>0.93915724184345606</v>
      </c>
      <c r="J183" s="4">
        <v>0.14724744389466279</v>
      </c>
      <c r="K183" s="4">
        <v>3.8911598556948805E-2</v>
      </c>
      <c r="L183" s="4">
        <v>9.334778793229799E-2</v>
      </c>
      <c r="M183" s="4">
        <v>0.15226966075083481</v>
      </c>
      <c r="N183" s="4">
        <v>0.15226966075083481</v>
      </c>
    </row>
    <row r="186" spans="1:14" x14ac:dyDescent="0.3">
      <c r="F186" s="4">
        <v>318.996331722344</v>
      </c>
      <c r="G186" s="4">
        <v>401.11279668946219</v>
      </c>
      <c r="H186" s="4">
        <v>663.43271079048816</v>
      </c>
      <c r="I186" s="4">
        <v>632.76754003678434</v>
      </c>
      <c r="J186" s="4">
        <v>518.1240862206821</v>
      </c>
      <c r="K186" s="4">
        <v>254.75207475430821</v>
      </c>
      <c r="L186" s="4">
        <v>245.85390782625919</v>
      </c>
      <c r="M186" s="4">
        <v>252.1849177200599</v>
      </c>
      <c r="N186" s="4">
        <v>297.07560358103603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情景名称</vt:lpstr>
      <vt:lpstr>全球</vt:lpstr>
      <vt:lpstr>集中式</vt:lpstr>
      <vt:lpstr>分布式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</cp:lastModifiedBy>
  <dcterms:created xsi:type="dcterms:W3CDTF">2015-06-05T18:19:34Z</dcterms:created>
  <dcterms:modified xsi:type="dcterms:W3CDTF">2026-05-18T15:33:48Z</dcterms:modified>
</cp:coreProperties>
</file>