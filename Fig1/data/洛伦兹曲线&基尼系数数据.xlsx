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PF-jianguoyun\我的坚果云\【论文】 SJTU\# 全球光伏\# Manuscript\数据计算&amp;画图\# 洛伦兹曲线\"/>
    </mc:Choice>
  </mc:AlternateContent>
  <xr:revisionPtr revIDLastSave="0" documentId="13_ncr:1_{C1893333-9936-4A74-AD9E-D8A9DAFF358E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Sheet1" sheetId="1" r:id="rId1"/>
    <sheet name="2024GDP" sheetId="6" r:id="rId2"/>
    <sheet name="GDP数据" sheetId="3" r:id="rId3"/>
    <sheet name="洛伦兹曲线" sheetId="4" r:id="rId4"/>
    <sheet name="基尼系数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5" l="1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2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19" i="5"/>
  <c r="AH120" i="5"/>
  <c r="AH121" i="5"/>
  <c r="AH122" i="5"/>
  <c r="AH123" i="5"/>
  <c r="AH124" i="5"/>
  <c r="AH125" i="5"/>
  <c r="AH126" i="5"/>
  <c r="AH127" i="5"/>
  <c r="AH128" i="5"/>
  <c r="AH129" i="5"/>
  <c r="AH130" i="5"/>
  <c r="AH131" i="5"/>
  <c r="AH132" i="5"/>
  <c r="AH133" i="5"/>
  <c r="AH134" i="5"/>
  <c r="AH135" i="5"/>
  <c r="AH136" i="5"/>
  <c r="AH137" i="5"/>
  <c r="AH138" i="5"/>
  <c r="AH139" i="5"/>
  <c r="AH140" i="5"/>
  <c r="AH141" i="5"/>
  <c r="AH142" i="5"/>
  <c r="AH143" i="5"/>
  <c r="AH144" i="5"/>
  <c r="AH145" i="5"/>
  <c r="AH146" i="5"/>
  <c r="AH147" i="5"/>
  <c r="AH148" i="5"/>
  <c r="AH149" i="5"/>
  <c r="AH150" i="5"/>
  <c r="AH151" i="5"/>
  <c r="AH2" i="5"/>
  <c r="AG5" i="5"/>
  <c r="AG6" i="5" s="1"/>
  <c r="AG7" i="5" s="1"/>
  <c r="AG8" i="5" s="1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37" i="5" s="1"/>
  <c r="AG38" i="5" s="1"/>
  <c r="AG39" i="5" s="1"/>
  <c r="AG40" i="5" s="1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AG90" i="5" s="1"/>
  <c r="AG91" i="5" s="1"/>
  <c r="AG92" i="5" s="1"/>
  <c r="AG93" i="5" s="1"/>
  <c r="AG94" i="5" s="1"/>
  <c r="AG95" i="5" s="1"/>
  <c r="AG96" i="5" s="1"/>
  <c r="AG97" i="5" s="1"/>
  <c r="AG98" i="5" s="1"/>
  <c r="AG99" i="5" s="1"/>
  <c r="AG100" i="5" s="1"/>
  <c r="AG101" i="5" s="1"/>
  <c r="AG102" i="5" s="1"/>
  <c r="AG103" i="5" s="1"/>
  <c r="AG104" i="5" s="1"/>
  <c r="AG105" i="5" s="1"/>
  <c r="AG106" i="5" s="1"/>
  <c r="AG107" i="5" s="1"/>
  <c r="AG108" i="5" s="1"/>
  <c r="AG109" i="5" s="1"/>
  <c r="AG110" i="5" s="1"/>
  <c r="AG111" i="5" s="1"/>
  <c r="AG112" i="5" s="1"/>
  <c r="AG113" i="5" s="1"/>
  <c r="AG114" i="5" s="1"/>
  <c r="AG115" i="5" s="1"/>
  <c r="AG116" i="5" s="1"/>
  <c r="AG117" i="5" s="1"/>
  <c r="AG118" i="5" s="1"/>
  <c r="AG119" i="5" s="1"/>
  <c r="AG120" i="5" s="1"/>
  <c r="AG121" i="5" s="1"/>
  <c r="AG122" i="5" s="1"/>
  <c r="AG123" i="5" s="1"/>
  <c r="AG124" i="5" s="1"/>
  <c r="AG125" i="5" s="1"/>
  <c r="AG126" i="5" s="1"/>
  <c r="AG127" i="5" s="1"/>
  <c r="AG128" i="5" s="1"/>
  <c r="AG129" i="5" s="1"/>
  <c r="AG130" i="5" s="1"/>
  <c r="AG131" i="5" s="1"/>
  <c r="AG132" i="5" s="1"/>
  <c r="AG133" i="5" s="1"/>
  <c r="AG134" i="5" s="1"/>
  <c r="AG135" i="5" s="1"/>
  <c r="AG136" i="5" s="1"/>
  <c r="AG137" i="5" s="1"/>
  <c r="AG138" i="5" s="1"/>
  <c r="AG139" i="5" s="1"/>
  <c r="AG140" i="5" s="1"/>
  <c r="AG141" i="5" s="1"/>
  <c r="AG142" i="5" s="1"/>
  <c r="AG143" i="5" s="1"/>
  <c r="AG144" i="5" s="1"/>
  <c r="AG145" i="5" s="1"/>
  <c r="AG146" i="5" s="1"/>
  <c r="AG147" i="5" s="1"/>
  <c r="AG148" i="5" s="1"/>
  <c r="AG149" i="5" s="1"/>
  <c r="AG150" i="5" s="1"/>
  <c r="AG151" i="5" s="1"/>
  <c r="AG2" i="5"/>
  <c r="AE152" i="5"/>
  <c r="AF2" i="5" s="1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2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Y7" i="5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5" i="5"/>
  <c r="Y3" i="5"/>
  <c r="Y2" i="5"/>
  <c r="W152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2" i="5"/>
  <c r="P4" i="5"/>
  <c r="P5" i="5"/>
  <c r="P6" i="5"/>
  <c r="P7" i="5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3" i="5"/>
  <c r="P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3" i="5"/>
  <c r="D4" i="5"/>
  <c r="D5" i="5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3" i="5"/>
  <c r="D2" i="5"/>
  <c r="F2" i="5"/>
  <c r="E2" i="5"/>
  <c r="R45" i="5" l="1"/>
  <c r="R17" i="5"/>
  <c r="R29" i="5"/>
  <c r="R26" i="5"/>
  <c r="R38" i="5"/>
  <c r="R25" i="5"/>
  <c r="R16" i="5"/>
  <c r="R64" i="5"/>
  <c r="R4" i="5"/>
  <c r="R24" i="5"/>
  <c r="R30" i="5"/>
  <c r="R43" i="5"/>
  <c r="R22" i="5"/>
  <c r="R53" i="5"/>
  <c r="R13" i="5"/>
  <c r="R5" i="5"/>
  <c r="R44" i="5"/>
  <c r="R37" i="5"/>
  <c r="R10" i="5"/>
  <c r="R27" i="5"/>
  <c r="R55" i="5"/>
  <c r="R21" i="5"/>
  <c r="R23" i="5"/>
  <c r="R73" i="5"/>
  <c r="R39" i="5"/>
  <c r="R48" i="5"/>
  <c r="R19" i="5"/>
  <c r="R32" i="5"/>
  <c r="R49" i="5"/>
  <c r="R88" i="5"/>
  <c r="R118" i="5"/>
  <c r="R15" i="5"/>
  <c r="R74" i="5"/>
  <c r="R80" i="5"/>
  <c r="R70" i="5"/>
  <c r="R69" i="5"/>
  <c r="R110" i="5"/>
  <c r="R134" i="5"/>
  <c r="R46" i="5"/>
  <c r="R67" i="5"/>
  <c r="R34" i="5"/>
  <c r="R149" i="5"/>
  <c r="R8" i="5"/>
  <c r="R109" i="5"/>
  <c r="R86" i="5"/>
  <c r="R31" i="5"/>
  <c r="R81" i="5"/>
  <c r="R14" i="5"/>
  <c r="R108" i="5"/>
  <c r="R97" i="5"/>
  <c r="R18" i="5"/>
  <c r="R77" i="5"/>
  <c r="R117" i="5"/>
  <c r="R60" i="5"/>
  <c r="R107" i="5"/>
  <c r="R137" i="5"/>
  <c r="R89" i="5"/>
  <c r="R132" i="5"/>
  <c r="R68" i="5"/>
  <c r="R83" i="5"/>
  <c r="R87" i="5"/>
  <c r="R90" i="5"/>
  <c r="R104" i="5"/>
  <c r="R96" i="5"/>
  <c r="R103" i="5"/>
  <c r="R3" i="5"/>
  <c r="R75" i="5"/>
  <c r="R136" i="5"/>
  <c r="R95" i="5"/>
  <c r="R57" i="5"/>
  <c r="R51" i="5"/>
  <c r="R12" i="5"/>
  <c r="R62" i="5"/>
  <c r="R131" i="5"/>
  <c r="R9" i="5"/>
  <c r="R91" i="5"/>
  <c r="R52" i="5"/>
  <c r="R111" i="5"/>
  <c r="R65" i="5"/>
  <c r="R101" i="5"/>
  <c r="R41" i="5"/>
  <c r="R71" i="5"/>
  <c r="R76" i="5"/>
  <c r="R33" i="5"/>
  <c r="R82" i="5"/>
  <c r="R35" i="5"/>
  <c r="R36" i="5"/>
  <c r="R20" i="5"/>
  <c r="R54" i="5"/>
  <c r="R98" i="5"/>
  <c r="R143" i="5"/>
  <c r="R123" i="5"/>
  <c r="R144" i="5"/>
  <c r="R122" i="5"/>
  <c r="R113" i="5"/>
  <c r="R116" i="5"/>
  <c r="R128" i="5"/>
  <c r="R126" i="5"/>
  <c r="R151" i="5"/>
  <c r="R142" i="5"/>
  <c r="R85" i="5"/>
  <c r="R141" i="5"/>
  <c r="R28" i="5"/>
  <c r="R127" i="5"/>
  <c r="R100" i="5"/>
  <c r="R40" i="5"/>
  <c r="R63" i="5"/>
  <c r="R106" i="5"/>
  <c r="R92" i="5"/>
  <c r="R72" i="5"/>
  <c r="R105" i="5"/>
  <c r="R61" i="5"/>
  <c r="R124" i="5"/>
  <c r="R119" i="5"/>
  <c r="R121" i="5"/>
  <c r="R93" i="5"/>
  <c r="R120" i="5"/>
  <c r="R78" i="5"/>
  <c r="R146" i="5"/>
  <c r="R6" i="5"/>
  <c r="R84" i="5"/>
  <c r="R2" i="5"/>
  <c r="R140" i="5"/>
  <c r="R66" i="5"/>
  <c r="R135" i="5"/>
  <c r="R147" i="5"/>
  <c r="R138" i="5"/>
  <c r="R133" i="5"/>
  <c r="R115" i="5"/>
  <c r="R58" i="5"/>
  <c r="R148" i="5"/>
  <c r="R129" i="5"/>
  <c r="R112" i="5"/>
  <c r="R50" i="5"/>
  <c r="R102" i="5"/>
  <c r="R139" i="5"/>
  <c r="R130" i="5"/>
  <c r="R79" i="5"/>
  <c r="R7" i="5"/>
  <c r="R125" i="5"/>
  <c r="R145" i="5"/>
  <c r="R114" i="5"/>
  <c r="R150" i="5"/>
  <c r="R94" i="5"/>
  <c r="R59" i="5"/>
  <c r="R99" i="5"/>
  <c r="R47" i="5"/>
  <c r="R42" i="5"/>
  <c r="R56" i="5"/>
  <c r="R11" i="5"/>
  <c r="F24" i="5"/>
  <c r="F13" i="5"/>
  <c r="F19" i="5"/>
  <c r="F70" i="5"/>
  <c r="F53" i="5"/>
  <c r="F30" i="5"/>
  <c r="F39" i="5"/>
  <c r="F6" i="5"/>
  <c r="F36" i="5"/>
  <c r="F34" i="5"/>
  <c r="F93" i="5"/>
  <c r="F42" i="5"/>
  <c r="F12" i="5"/>
  <c r="F64" i="5"/>
  <c r="F4" i="5"/>
  <c r="F26" i="5"/>
  <c r="F25" i="5"/>
  <c r="F78" i="5"/>
  <c r="F16" i="5"/>
  <c r="F22" i="5"/>
  <c r="F73" i="5"/>
  <c r="F56" i="5"/>
  <c r="F37" i="5"/>
  <c r="F51" i="5"/>
  <c r="F17" i="5"/>
  <c r="F44" i="5"/>
  <c r="F60" i="5"/>
  <c r="F29" i="5"/>
  <c r="F59" i="5"/>
  <c r="F50" i="5"/>
  <c r="F116" i="5"/>
  <c r="F18" i="5"/>
  <c r="F11" i="5"/>
  <c r="F89" i="5"/>
  <c r="F110" i="5"/>
  <c r="F79" i="5"/>
  <c r="F58" i="5"/>
  <c r="F83" i="5"/>
  <c r="F28" i="5"/>
  <c r="F128" i="5"/>
  <c r="F81" i="5"/>
  <c r="F147" i="5"/>
  <c r="F46" i="5"/>
  <c r="F49" i="5"/>
  <c r="F40" i="5"/>
  <c r="F91" i="5"/>
  <c r="F57" i="5"/>
  <c r="F7" i="5"/>
  <c r="F95" i="5"/>
  <c r="F14" i="5"/>
  <c r="F9" i="5"/>
  <c r="F96" i="5"/>
  <c r="F121" i="5"/>
  <c r="F63" i="5"/>
  <c r="F62" i="5"/>
  <c r="F114" i="5"/>
  <c r="F21" i="5"/>
  <c r="F124" i="5"/>
  <c r="F99" i="5"/>
  <c r="F87" i="5"/>
  <c r="F135" i="5"/>
  <c r="F85" i="5"/>
  <c r="F52" i="5"/>
  <c r="F31" i="5"/>
  <c r="F101" i="5"/>
  <c r="F15" i="5"/>
  <c r="F32" i="5"/>
  <c r="F113" i="5"/>
  <c r="F127" i="5"/>
  <c r="F69" i="5"/>
  <c r="F92" i="5"/>
  <c r="F5" i="5"/>
  <c r="F27" i="5"/>
  <c r="F123" i="5"/>
  <c r="F33" i="5"/>
  <c r="F20" i="5"/>
  <c r="F61" i="5"/>
  <c r="F104" i="5"/>
  <c r="F41" i="5"/>
  <c r="F72" i="5"/>
  <c r="F45" i="5"/>
  <c r="F111" i="5"/>
  <c r="F35" i="5"/>
  <c r="F8" i="5"/>
  <c r="F84" i="5"/>
  <c r="F68" i="5"/>
  <c r="F71" i="5"/>
  <c r="F10" i="5"/>
  <c r="F67" i="5"/>
  <c r="F88" i="5"/>
  <c r="F143" i="5"/>
  <c r="F75" i="5"/>
  <c r="F137" i="5"/>
  <c r="F139" i="5"/>
  <c r="F107" i="5"/>
  <c r="F119" i="5"/>
  <c r="F105" i="5"/>
  <c r="F130" i="5"/>
  <c r="F150" i="5"/>
  <c r="F109" i="5"/>
  <c r="F80" i="5"/>
  <c r="F136" i="5"/>
  <c r="F54" i="5"/>
  <c r="F97" i="5"/>
  <c r="F82" i="5"/>
  <c r="F86" i="5"/>
  <c r="F76" i="5"/>
  <c r="F131" i="5"/>
  <c r="F74" i="5"/>
  <c r="F65" i="5"/>
  <c r="F90" i="5"/>
  <c r="F48" i="5"/>
  <c r="F100" i="5"/>
  <c r="F102" i="5"/>
  <c r="F106" i="5"/>
  <c r="F94" i="5"/>
  <c r="F133" i="5"/>
  <c r="F66" i="5"/>
  <c r="F138" i="5"/>
  <c r="F23" i="5"/>
  <c r="F55" i="5"/>
  <c r="F47" i="5"/>
  <c r="F144" i="5"/>
  <c r="F38" i="5"/>
  <c r="F142" i="5"/>
  <c r="F149" i="5"/>
  <c r="F145" i="5"/>
  <c r="F122" i="5"/>
  <c r="F117" i="5"/>
  <c r="F103" i="5"/>
  <c r="F148" i="5"/>
  <c r="F141" i="5"/>
  <c r="F126" i="5"/>
  <c r="F108" i="5"/>
  <c r="F118" i="5"/>
  <c r="F146" i="5"/>
  <c r="F134" i="5"/>
  <c r="F129" i="5"/>
  <c r="F43" i="5"/>
  <c r="F112" i="5"/>
  <c r="F140" i="5"/>
  <c r="F98" i="5"/>
  <c r="F151" i="5"/>
  <c r="F115" i="5"/>
  <c r="F120" i="5"/>
  <c r="F132" i="5"/>
  <c r="F125" i="5"/>
  <c r="F77" i="5"/>
  <c r="F3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2" i="4"/>
  <c r="N2" i="4" s="1"/>
  <c r="N3" i="4" s="1"/>
  <c r="D153" i="4"/>
  <c r="E153" i="4"/>
  <c r="S3" i="3"/>
  <c r="T3" i="3"/>
  <c r="S4" i="3"/>
  <c r="T4" i="3"/>
  <c r="S5" i="3"/>
  <c r="T5" i="3"/>
  <c r="S6" i="3"/>
  <c r="T6" i="3"/>
  <c r="S7" i="3"/>
  <c r="T7" i="3"/>
  <c r="S8" i="3"/>
  <c r="T8" i="3"/>
  <c r="S9" i="3"/>
  <c r="T9" i="3"/>
  <c r="S10" i="3"/>
  <c r="T10" i="3"/>
  <c r="S11" i="3"/>
  <c r="T11" i="3"/>
  <c r="S12" i="3"/>
  <c r="T12" i="3"/>
  <c r="S13" i="3"/>
  <c r="T13" i="3"/>
  <c r="S14" i="3"/>
  <c r="T14" i="3"/>
  <c r="S15" i="3"/>
  <c r="T15" i="3"/>
  <c r="S16" i="3"/>
  <c r="T16" i="3"/>
  <c r="S17" i="3"/>
  <c r="T17" i="3"/>
  <c r="S18" i="3"/>
  <c r="T18" i="3"/>
  <c r="S19" i="3"/>
  <c r="T19" i="3"/>
  <c r="S20" i="3"/>
  <c r="T20" i="3"/>
  <c r="S21" i="3"/>
  <c r="T21" i="3"/>
  <c r="S22" i="3"/>
  <c r="T22" i="3"/>
  <c r="S23" i="3"/>
  <c r="T23" i="3"/>
  <c r="S24" i="3"/>
  <c r="T24" i="3"/>
  <c r="S25" i="3"/>
  <c r="T25" i="3"/>
  <c r="S26" i="3"/>
  <c r="T26" i="3"/>
  <c r="S27" i="3"/>
  <c r="T27" i="3"/>
  <c r="S28" i="3"/>
  <c r="T28" i="3"/>
  <c r="S29" i="3"/>
  <c r="T29" i="3"/>
  <c r="S30" i="3"/>
  <c r="T30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S46" i="3"/>
  <c r="T46" i="3"/>
  <c r="S47" i="3"/>
  <c r="T47" i="3"/>
  <c r="S48" i="3"/>
  <c r="T48" i="3"/>
  <c r="S49" i="3"/>
  <c r="T49" i="3"/>
  <c r="S50" i="3"/>
  <c r="T50" i="3"/>
  <c r="S51" i="3"/>
  <c r="T51" i="3"/>
  <c r="S52" i="3"/>
  <c r="T52" i="3"/>
  <c r="S53" i="3"/>
  <c r="T53" i="3"/>
  <c r="S54" i="3"/>
  <c r="T54" i="3"/>
  <c r="S55" i="3"/>
  <c r="T55" i="3"/>
  <c r="S56" i="3"/>
  <c r="T56" i="3"/>
  <c r="S57" i="3"/>
  <c r="T57" i="3"/>
  <c r="S58" i="3"/>
  <c r="T58" i="3"/>
  <c r="S59" i="3"/>
  <c r="T59" i="3"/>
  <c r="S60" i="3"/>
  <c r="T60" i="3"/>
  <c r="S61" i="3"/>
  <c r="T61" i="3"/>
  <c r="S62" i="3"/>
  <c r="T62" i="3"/>
  <c r="S63" i="3"/>
  <c r="T63" i="3"/>
  <c r="S64" i="3"/>
  <c r="T64" i="3"/>
  <c r="S65" i="3"/>
  <c r="T65" i="3"/>
  <c r="S66" i="3"/>
  <c r="T66" i="3"/>
  <c r="S67" i="3"/>
  <c r="T67" i="3"/>
  <c r="S68" i="3"/>
  <c r="T68" i="3"/>
  <c r="S69" i="3"/>
  <c r="T69" i="3"/>
  <c r="S70" i="3"/>
  <c r="T70" i="3"/>
  <c r="S71" i="3"/>
  <c r="T71" i="3"/>
  <c r="S72" i="3"/>
  <c r="T72" i="3"/>
  <c r="S73" i="3"/>
  <c r="T73" i="3"/>
  <c r="S74" i="3"/>
  <c r="T74" i="3"/>
  <c r="S75" i="3"/>
  <c r="T75" i="3"/>
  <c r="S76" i="3"/>
  <c r="T76" i="3"/>
  <c r="S77" i="3"/>
  <c r="T77" i="3"/>
  <c r="S78" i="3"/>
  <c r="T78" i="3"/>
  <c r="S79" i="3"/>
  <c r="T79" i="3"/>
  <c r="S80" i="3"/>
  <c r="T80" i="3"/>
  <c r="S81" i="3"/>
  <c r="T81" i="3"/>
  <c r="S82" i="3"/>
  <c r="T82" i="3"/>
  <c r="S83" i="3"/>
  <c r="T83" i="3"/>
  <c r="S84" i="3"/>
  <c r="T84" i="3"/>
  <c r="S85" i="3"/>
  <c r="T85" i="3"/>
  <c r="S86" i="3"/>
  <c r="T86" i="3"/>
  <c r="S87" i="3"/>
  <c r="T87" i="3"/>
  <c r="S88" i="3"/>
  <c r="T88" i="3"/>
  <c r="S89" i="3"/>
  <c r="T89" i="3"/>
  <c r="S90" i="3"/>
  <c r="T90" i="3"/>
  <c r="S91" i="3"/>
  <c r="T91" i="3"/>
  <c r="S92" i="3"/>
  <c r="T92" i="3"/>
  <c r="S93" i="3"/>
  <c r="T93" i="3"/>
  <c r="S94" i="3"/>
  <c r="T94" i="3"/>
  <c r="S95" i="3"/>
  <c r="T95" i="3"/>
  <c r="S96" i="3"/>
  <c r="T96" i="3"/>
  <c r="S97" i="3"/>
  <c r="T97" i="3"/>
  <c r="S98" i="3"/>
  <c r="T98" i="3"/>
  <c r="S99" i="3"/>
  <c r="T99" i="3"/>
  <c r="S100" i="3"/>
  <c r="T100" i="3"/>
  <c r="S101" i="3"/>
  <c r="T101" i="3"/>
  <c r="S102" i="3"/>
  <c r="T102" i="3"/>
  <c r="S103" i="3"/>
  <c r="T103" i="3"/>
  <c r="S104" i="3"/>
  <c r="T104" i="3"/>
  <c r="S105" i="3"/>
  <c r="T105" i="3"/>
  <c r="S106" i="3"/>
  <c r="T106" i="3"/>
  <c r="S107" i="3"/>
  <c r="T107" i="3"/>
  <c r="S108" i="3"/>
  <c r="T108" i="3"/>
  <c r="S109" i="3"/>
  <c r="T109" i="3"/>
  <c r="S110" i="3"/>
  <c r="T110" i="3"/>
  <c r="S111" i="3"/>
  <c r="T111" i="3"/>
  <c r="S112" i="3"/>
  <c r="T112" i="3"/>
  <c r="S113" i="3"/>
  <c r="T113" i="3"/>
  <c r="S114" i="3"/>
  <c r="T114" i="3"/>
  <c r="S115" i="3"/>
  <c r="T115" i="3"/>
  <c r="S116" i="3"/>
  <c r="T116" i="3"/>
  <c r="S117" i="3"/>
  <c r="T117" i="3"/>
  <c r="S118" i="3"/>
  <c r="T118" i="3"/>
  <c r="S119" i="3"/>
  <c r="T119" i="3"/>
  <c r="S120" i="3"/>
  <c r="T120" i="3"/>
  <c r="S121" i="3"/>
  <c r="T121" i="3"/>
  <c r="S122" i="3"/>
  <c r="T122" i="3"/>
  <c r="S123" i="3"/>
  <c r="T123" i="3"/>
  <c r="S124" i="3"/>
  <c r="T124" i="3"/>
  <c r="S125" i="3"/>
  <c r="T125" i="3"/>
  <c r="S126" i="3"/>
  <c r="T126" i="3"/>
  <c r="S127" i="3"/>
  <c r="T127" i="3"/>
  <c r="S128" i="3"/>
  <c r="T128" i="3"/>
  <c r="S129" i="3"/>
  <c r="T129" i="3"/>
  <c r="S130" i="3"/>
  <c r="T130" i="3"/>
  <c r="S131" i="3"/>
  <c r="T131" i="3"/>
  <c r="S132" i="3"/>
  <c r="T132" i="3"/>
  <c r="S133" i="3"/>
  <c r="T133" i="3"/>
  <c r="S134" i="3"/>
  <c r="T134" i="3"/>
  <c r="S135" i="3"/>
  <c r="T135" i="3"/>
  <c r="S136" i="3"/>
  <c r="T136" i="3"/>
  <c r="S137" i="3"/>
  <c r="T137" i="3"/>
  <c r="S138" i="3"/>
  <c r="T138" i="3"/>
  <c r="S139" i="3"/>
  <c r="T139" i="3"/>
  <c r="S140" i="3"/>
  <c r="T140" i="3"/>
  <c r="S141" i="3"/>
  <c r="T141" i="3"/>
  <c r="S142" i="3"/>
  <c r="T142" i="3"/>
  <c r="S143" i="3"/>
  <c r="T143" i="3"/>
  <c r="S144" i="3"/>
  <c r="T144" i="3"/>
  <c r="S145" i="3"/>
  <c r="T145" i="3"/>
  <c r="S146" i="3"/>
  <c r="T146" i="3"/>
  <c r="S147" i="3"/>
  <c r="T147" i="3"/>
  <c r="S148" i="3"/>
  <c r="T148" i="3"/>
  <c r="S149" i="3"/>
  <c r="T149" i="3"/>
  <c r="S150" i="3"/>
  <c r="T150" i="3"/>
  <c r="S151" i="3"/>
  <c r="T151" i="3"/>
  <c r="S152" i="3"/>
  <c r="T152" i="3"/>
  <c r="S153" i="3"/>
  <c r="T153" i="3"/>
  <c r="S154" i="3"/>
  <c r="T154" i="3"/>
  <c r="S155" i="3"/>
  <c r="T155" i="3"/>
  <c r="S156" i="3"/>
  <c r="T156" i="3"/>
  <c r="S157" i="3"/>
  <c r="T157" i="3"/>
  <c r="S158" i="3"/>
  <c r="T158" i="3"/>
  <c r="S159" i="3"/>
  <c r="T159" i="3"/>
  <c r="S160" i="3"/>
  <c r="T160" i="3"/>
  <c r="S161" i="3"/>
  <c r="T161" i="3"/>
  <c r="S162" i="3"/>
  <c r="T162" i="3"/>
  <c r="S163" i="3"/>
  <c r="T163" i="3"/>
  <c r="S164" i="3"/>
  <c r="T164" i="3"/>
  <c r="S165" i="3"/>
  <c r="T165" i="3"/>
  <c r="S166" i="3"/>
  <c r="T166" i="3"/>
  <c r="S167" i="3"/>
  <c r="T167" i="3"/>
  <c r="S168" i="3"/>
  <c r="T168" i="3"/>
  <c r="S169" i="3"/>
  <c r="T169" i="3"/>
  <c r="S170" i="3"/>
  <c r="T170" i="3"/>
  <c r="T2" i="3"/>
  <c r="S2" i="3"/>
  <c r="AF118" i="5"/>
  <c r="X101" i="5"/>
  <c r="G77" i="5"/>
  <c r="X36" i="5"/>
  <c r="G125" i="5"/>
  <c r="X81" i="5"/>
  <c r="G132" i="5"/>
  <c r="X35" i="5"/>
  <c r="G115" i="5"/>
  <c r="X127" i="5"/>
  <c r="X34" i="5"/>
  <c r="X58" i="5"/>
  <c r="G134" i="5"/>
  <c r="X53" i="5"/>
  <c r="G126" i="5"/>
  <c r="G141" i="5"/>
  <c r="X148" i="5"/>
  <c r="G122" i="5"/>
  <c r="G145" i="5"/>
  <c r="X147" i="5"/>
  <c r="G142" i="5"/>
  <c r="G38" i="5"/>
  <c r="G144" i="5"/>
  <c r="G47" i="5"/>
  <c r="G55" i="5"/>
  <c r="X32" i="5"/>
  <c r="G23" i="5"/>
  <c r="X120" i="5"/>
  <c r="X119" i="5"/>
  <c r="G48" i="5"/>
  <c r="X109" i="5"/>
  <c r="G74" i="5"/>
  <c r="X59" i="5"/>
  <c r="G86" i="5"/>
  <c r="G82" i="5"/>
  <c r="G97" i="5"/>
  <c r="X142" i="5"/>
  <c r="X88" i="5"/>
  <c r="G80" i="5"/>
  <c r="G109" i="5"/>
  <c r="X151" i="5"/>
  <c r="G150" i="5"/>
  <c r="G130" i="5"/>
  <c r="X128" i="5"/>
  <c r="G105" i="5"/>
  <c r="X112" i="5"/>
  <c r="X122" i="5"/>
  <c r="X145" i="5"/>
  <c r="G75" i="5"/>
  <c r="X98" i="5"/>
  <c r="G10" i="5"/>
  <c r="X29" i="5"/>
  <c r="X28" i="5"/>
  <c r="G84" i="5"/>
  <c r="X84" i="5"/>
  <c r="X65" i="5"/>
  <c r="G111" i="5"/>
  <c r="X27" i="5"/>
  <c r="G45" i="5"/>
  <c r="G72" i="5"/>
  <c r="G41" i="5"/>
  <c r="X113" i="5"/>
  <c r="G104" i="5"/>
  <c r="X26" i="5"/>
  <c r="G20" i="5"/>
  <c r="X25" i="5"/>
  <c r="G27" i="5"/>
  <c r="G5" i="5"/>
  <c r="X63" i="5"/>
  <c r="X69" i="5"/>
  <c r="X97" i="5"/>
  <c r="X23" i="5"/>
  <c r="X103" i="5"/>
  <c r="G31" i="5"/>
  <c r="X104" i="5"/>
  <c r="X92" i="5"/>
  <c r="G87" i="5"/>
  <c r="X22" i="5"/>
  <c r="X132" i="5"/>
  <c r="G124" i="5"/>
  <c r="X91" i="5"/>
  <c r="G21" i="5"/>
  <c r="G114" i="5"/>
  <c r="G62" i="5"/>
  <c r="X118" i="5"/>
  <c r="G96" i="5"/>
  <c r="X20" i="5"/>
  <c r="X100" i="5"/>
  <c r="G14" i="5"/>
  <c r="X110" i="5"/>
  <c r="G95" i="5"/>
  <c r="G7" i="5"/>
  <c r="X85" i="5"/>
  <c r="X44" i="5"/>
  <c r="X90" i="5"/>
  <c r="X19" i="5"/>
  <c r="G46" i="5"/>
  <c r="X149" i="5"/>
  <c r="X18" i="5"/>
  <c r="G128" i="5"/>
  <c r="X61" i="5"/>
  <c r="G28" i="5"/>
  <c r="G79" i="5"/>
  <c r="X76" i="5"/>
  <c r="X82" i="5"/>
  <c r="X83" i="5"/>
  <c r="G11" i="5"/>
  <c r="G18" i="5"/>
  <c r="X94" i="5"/>
  <c r="X39" i="5"/>
  <c r="X16" i="5"/>
  <c r="G29" i="5"/>
  <c r="X15" i="5"/>
  <c r="G60" i="5"/>
  <c r="X49" i="5"/>
  <c r="G44" i="5"/>
  <c r="X14" i="5"/>
  <c r="X79" i="5"/>
  <c r="G51" i="5"/>
  <c r="X13" i="5"/>
  <c r="X41" i="5"/>
  <c r="X51" i="5"/>
  <c r="X12" i="5"/>
  <c r="X11" i="5"/>
  <c r="G16" i="5"/>
  <c r="X10" i="5"/>
  <c r="X62" i="5"/>
  <c r="X9" i="5"/>
  <c r="X8" i="5"/>
  <c r="G4" i="5"/>
  <c r="X67" i="5"/>
  <c r="X7" i="5"/>
  <c r="X6" i="5"/>
  <c r="G34" i="5"/>
  <c r="X5" i="5"/>
  <c r="G2" i="5"/>
  <c r="X73" i="5"/>
  <c r="G36" i="5"/>
  <c r="G6" i="5"/>
  <c r="X42" i="5"/>
  <c r="X50" i="5"/>
  <c r="G30" i="5"/>
  <c r="X46" i="5"/>
  <c r="G53" i="5"/>
  <c r="G70" i="5"/>
  <c r="X43" i="5"/>
  <c r="G19" i="5"/>
  <c r="X64" i="5"/>
  <c r="S45" i="5"/>
  <c r="G13" i="5"/>
  <c r="X68" i="5"/>
  <c r="S56" i="5"/>
  <c r="G24" i="5"/>
  <c r="X2" i="5"/>
  <c r="Z2" i="5" s="1"/>
  <c r="AB2" i="5" s="1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J170" i="3" a="1"/>
  <c r="J170" i="3" s="1"/>
  <c r="I170" i="3" a="1"/>
  <c r="I170" i="3" s="1"/>
  <c r="J169" i="3" a="1"/>
  <c r="J169" i="3" s="1"/>
  <c r="I169" i="3" a="1"/>
  <c r="I169" i="3" s="1"/>
  <c r="J168" i="3" a="1"/>
  <c r="J168" i="3" s="1"/>
  <c r="I168" i="3" a="1"/>
  <c r="I168" i="3" s="1"/>
  <c r="J167" i="3" a="1"/>
  <c r="J167" i="3" s="1"/>
  <c r="I167" i="3" a="1"/>
  <c r="I167" i="3" s="1"/>
  <c r="J166" i="3" a="1"/>
  <c r="J166" i="3" s="1"/>
  <c r="I166" i="3" a="1"/>
  <c r="I166" i="3" s="1"/>
  <c r="J165" i="3" a="1"/>
  <c r="J165" i="3" s="1"/>
  <c r="I165" i="3" a="1"/>
  <c r="I165" i="3" s="1"/>
  <c r="J164" i="3" a="1"/>
  <c r="J164" i="3" s="1"/>
  <c r="I164" i="3" a="1"/>
  <c r="I164" i="3" s="1"/>
  <c r="J163" i="3" a="1"/>
  <c r="J163" i="3" s="1"/>
  <c r="I163" i="3" a="1"/>
  <c r="I163" i="3" s="1"/>
  <c r="J162" i="3" a="1"/>
  <c r="J162" i="3" s="1"/>
  <c r="I162" i="3" a="1"/>
  <c r="I162" i="3" s="1"/>
  <c r="J161" i="3" a="1"/>
  <c r="J161" i="3" s="1"/>
  <c r="I161" i="3" a="1"/>
  <c r="I161" i="3" s="1"/>
  <c r="J160" i="3" a="1"/>
  <c r="J160" i="3" s="1"/>
  <c r="I160" i="3" a="1"/>
  <c r="I160" i="3" s="1"/>
  <c r="J159" i="3" a="1"/>
  <c r="J159" i="3" s="1"/>
  <c r="I159" i="3" a="1"/>
  <c r="I159" i="3" s="1"/>
  <c r="J158" i="3" a="1"/>
  <c r="J158" i="3" s="1"/>
  <c r="I158" i="3" a="1"/>
  <c r="I158" i="3" s="1"/>
  <c r="J157" i="3" a="1"/>
  <c r="J157" i="3" s="1"/>
  <c r="I157" i="3" a="1"/>
  <c r="I157" i="3" s="1"/>
  <c r="J156" i="3" a="1"/>
  <c r="J156" i="3" s="1"/>
  <c r="I156" i="3" a="1"/>
  <c r="I156" i="3" s="1"/>
  <c r="J155" i="3" a="1"/>
  <c r="J155" i="3" s="1"/>
  <c r="I155" i="3" a="1"/>
  <c r="I155" i="3" s="1"/>
  <c r="J154" i="3" a="1"/>
  <c r="J154" i="3" s="1"/>
  <c r="I154" i="3" a="1"/>
  <c r="I154" i="3" s="1"/>
  <c r="J153" i="3" a="1"/>
  <c r="J153" i="3" s="1"/>
  <c r="I153" i="3" a="1"/>
  <c r="I153" i="3" s="1"/>
  <c r="J152" i="3" a="1"/>
  <c r="J152" i="3" s="1"/>
  <c r="I152" i="3" a="1"/>
  <c r="I152" i="3" s="1"/>
  <c r="J151" i="3" a="1"/>
  <c r="J151" i="3" s="1"/>
  <c r="I151" i="3" a="1"/>
  <c r="I151" i="3" s="1"/>
  <c r="J150" i="3" a="1"/>
  <c r="J150" i="3" s="1"/>
  <c r="I150" i="3" a="1"/>
  <c r="I150" i="3" s="1"/>
  <c r="J149" i="3" a="1"/>
  <c r="J149" i="3" s="1"/>
  <c r="I149" i="3" a="1"/>
  <c r="I149" i="3" s="1"/>
  <c r="J148" i="3" a="1"/>
  <c r="J148" i="3" s="1"/>
  <c r="I148" i="3" a="1"/>
  <c r="I148" i="3" s="1"/>
  <c r="J147" i="3" a="1"/>
  <c r="J147" i="3" s="1"/>
  <c r="I147" i="3" a="1"/>
  <c r="I147" i="3" s="1"/>
  <c r="J146" i="3" a="1"/>
  <c r="J146" i="3" s="1"/>
  <c r="I146" i="3" a="1"/>
  <c r="I146" i="3" s="1"/>
  <c r="J145" i="3" a="1"/>
  <c r="J145" i="3" s="1"/>
  <c r="I145" i="3" a="1"/>
  <c r="I145" i="3" s="1"/>
  <c r="J144" i="3" a="1"/>
  <c r="J144" i="3" s="1"/>
  <c r="I144" i="3" a="1"/>
  <c r="I144" i="3" s="1"/>
  <c r="J143" i="3" a="1"/>
  <c r="J143" i="3" s="1"/>
  <c r="I143" i="3" a="1"/>
  <c r="I143" i="3" s="1"/>
  <c r="J142" i="3" a="1"/>
  <c r="J142" i="3" s="1"/>
  <c r="I142" i="3" a="1"/>
  <c r="I142" i="3" s="1"/>
  <c r="J141" i="3" a="1"/>
  <c r="J141" i="3" s="1"/>
  <c r="I141" i="3" a="1"/>
  <c r="I141" i="3" s="1"/>
  <c r="J140" i="3" a="1"/>
  <c r="J140" i="3" s="1"/>
  <c r="I140" i="3" a="1"/>
  <c r="I140" i="3" s="1"/>
  <c r="J139" i="3" a="1"/>
  <c r="J139" i="3" s="1"/>
  <c r="I139" i="3" a="1"/>
  <c r="I139" i="3" s="1"/>
  <c r="J138" i="3" a="1"/>
  <c r="J138" i="3" s="1"/>
  <c r="I138" i="3" a="1"/>
  <c r="I138" i="3" s="1"/>
  <c r="J137" i="3" a="1"/>
  <c r="J137" i="3" s="1"/>
  <c r="I137" i="3" a="1"/>
  <c r="I137" i="3" s="1"/>
  <c r="J136" i="3" a="1"/>
  <c r="J136" i="3" s="1"/>
  <c r="I136" i="3" a="1"/>
  <c r="I136" i="3" s="1"/>
  <c r="J135" i="3" a="1"/>
  <c r="J135" i="3" s="1"/>
  <c r="I135" i="3" a="1"/>
  <c r="I135" i="3" s="1"/>
  <c r="J134" i="3" a="1"/>
  <c r="J134" i="3" s="1"/>
  <c r="I134" i="3" a="1"/>
  <c r="I134" i="3" s="1"/>
  <c r="J133" i="3" a="1"/>
  <c r="J133" i="3" s="1"/>
  <c r="I133" i="3" a="1"/>
  <c r="I133" i="3" s="1"/>
  <c r="J132" i="3" a="1"/>
  <c r="J132" i="3" s="1"/>
  <c r="I132" i="3" a="1"/>
  <c r="I132" i="3" s="1"/>
  <c r="J131" i="3" a="1"/>
  <c r="J131" i="3" s="1"/>
  <c r="I131" i="3" a="1"/>
  <c r="I131" i="3" s="1"/>
  <c r="J130" i="3" a="1"/>
  <c r="J130" i="3" s="1"/>
  <c r="I130" i="3" a="1"/>
  <c r="I130" i="3" s="1"/>
  <c r="J129" i="3" a="1"/>
  <c r="J129" i="3" s="1"/>
  <c r="I129" i="3" a="1"/>
  <c r="I129" i="3" s="1"/>
  <c r="J128" i="3" a="1"/>
  <c r="J128" i="3" s="1"/>
  <c r="I128" i="3" a="1"/>
  <c r="I128" i="3" s="1"/>
  <c r="J127" i="3" a="1"/>
  <c r="J127" i="3" s="1"/>
  <c r="I127" i="3" a="1"/>
  <c r="I127" i="3" s="1"/>
  <c r="J126" i="3" a="1"/>
  <c r="J126" i="3" s="1"/>
  <c r="I126" i="3" a="1"/>
  <c r="I126" i="3" s="1"/>
  <c r="J125" i="3" a="1"/>
  <c r="J125" i="3" s="1"/>
  <c r="I125" i="3" a="1"/>
  <c r="I125" i="3" s="1"/>
  <c r="J124" i="3" a="1"/>
  <c r="J124" i="3" s="1"/>
  <c r="I124" i="3" a="1"/>
  <c r="I124" i="3" s="1"/>
  <c r="J123" i="3" a="1"/>
  <c r="J123" i="3" s="1"/>
  <c r="I123" i="3" a="1"/>
  <c r="I123" i="3" s="1"/>
  <c r="J122" i="3" a="1"/>
  <c r="J122" i="3" s="1"/>
  <c r="I122" i="3" a="1"/>
  <c r="I122" i="3" s="1"/>
  <c r="J121" i="3" a="1"/>
  <c r="J121" i="3" s="1"/>
  <c r="I121" i="3" a="1"/>
  <c r="I121" i="3" s="1"/>
  <c r="J120" i="3" a="1"/>
  <c r="J120" i="3" s="1"/>
  <c r="I120" i="3" a="1"/>
  <c r="I120" i="3" s="1"/>
  <c r="J119" i="3" a="1"/>
  <c r="J119" i="3" s="1"/>
  <c r="I119" i="3" a="1"/>
  <c r="I119" i="3" s="1"/>
  <c r="J118" i="3" a="1"/>
  <c r="J118" i="3" s="1"/>
  <c r="I118" i="3" a="1"/>
  <c r="I118" i="3" s="1"/>
  <c r="J117" i="3" a="1"/>
  <c r="J117" i="3" s="1"/>
  <c r="I117" i="3" a="1"/>
  <c r="I117" i="3" s="1"/>
  <c r="J116" i="3" a="1"/>
  <c r="J116" i="3" s="1"/>
  <c r="I116" i="3" a="1"/>
  <c r="I116" i="3" s="1"/>
  <c r="J115" i="3" a="1"/>
  <c r="J115" i="3" s="1"/>
  <c r="I115" i="3" a="1"/>
  <c r="I115" i="3" s="1"/>
  <c r="J114" i="3" a="1"/>
  <c r="J114" i="3" s="1"/>
  <c r="I114" i="3" a="1"/>
  <c r="I114" i="3" s="1"/>
  <c r="J113" i="3" a="1"/>
  <c r="J113" i="3" s="1"/>
  <c r="I113" i="3" a="1"/>
  <c r="I113" i="3" s="1"/>
  <c r="J112" i="3" a="1"/>
  <c r="J112" i="3" s="1"/>
  <c r="I112" i="3" a="1"/>
  <c r="I112" i="3" s="1"/>
  <c r="J111" i="3" a="1"/>
  <c r="J111" i="3" s="1"/>
  <c r="I111" i="3" a="1"/>
  <c r="I111" i="3" s="1"/>
  <c r="J110" i="3" a="1"/>
  <c r="J110" i="3" s="1"/>
  <c r="I110" i="3" a="1"/>
  <c r="I110" i="3" s="1"/>
  <c r="J109" i="3" a="1"/>
  <c r="J109" i="3" s="1"/>
  <c r="I109" i="3" a="1"/>
  <c r="I109" i="3" s="1"/>
  <c r="J108" i="3" a="1"/>
  <c r="J108" i="3" s="1"/>
  <c r="I108" i="3" a="1"/>
  <c r="I108" i="3" s="1"/>
  <c r="J107" i="3" a="1"/>
  <c r="J107" i="3" s="1"/>
  <c r="I107" i="3" a="1"/>
  <c r="I107" i="3" s="1"/>
  <c r="J106" i="3" a="1"/>
  <c r="J106" i="3" s="1"/>
  <c r="I106" i="3" a="1"/>
  <c r="I106" i="3" s="1"/>
  <c r="J105" i="3" a="1"/>
  <c r="J105" i="3" s="1"/>
  <c r="I105" i="3" a="1"/>
  <c r="I105" i="3" s="1"/>
  <c r="J104" i="3" a="1"/>
  <c r="J104" i="3" s="1"/>
  <c r="I104" i="3" a="1"/>
  <c r="I104" i="3" s="1"/>
  <c r="J103" i="3" a="1"/>
  <c r="J103" i="3" s="1"/>
  <c r="I103" i="3" a="1"/>
  <c r="I103" i="3" s="1"/>
  <c r="J102" i="3" a="1"/>
  <c r="J102" i="3" s="1"/>
  <c r="I102" i="3" a="1"/>
  <c r="I102" i="3" s="1"/>
  <c r="J101" i="3" a="1"/>
  <c r="J101" i="3" s="1"/>
  <c r="I101" i="3" a="1"/>
  <c r="I101" i="3" s="1"/>
  <c r="J100" i="3" a="1"/>
  <c r="J100" i="3" s="1"/>
  <c r="I100" i="3" a="1"/>
  <c r="I100" i="3" s="1"/>
  <c r="J99" i="3" a="1"/>
  <c r="J99" i="3" s="1"/>
  <c r="I99" i="3" a="1"/>
  <c r="I99" i="3" s="1"/>
  <c r="J98" i="3" a="1"/>
  <c r="J98" i="3" s="1"/>
  <c r="I98" i="3" a="1"/>
  <c r="I98" i="3" s="1"/>
  <c r="J97" i="3" a="1"/>
  <c r="J97" i="3" s="1"/>
  <c r="I97" i="3" a="1"/>
  <c r="I97" i="3" s="1"/>
  <c r="J96" i="3" a="1"/>
  <c r="J96" i="3" s="1"/>
  <c r="I96" i="3" a="1"/>
  <c r="I96" i="3" s="1"/>
  <c r="J95" i="3" a="1"/>
  <c r="J95" i="3" s="1"/>
  <c r="I95" i="3" a="1"/>
  <c r="I95" i="3" s="1"/>
  <c r="J94" i="3" a="1"/>
  <c r="J94" i="3" s="1"/>
  <c r="I94" i="3" a="1"/>
  <c r="I94" i="3" s="1"/>
  <c r="J93" i="3" a="1"/>
  <c r="J93" i="3" s="1"/>
  <c r="I93" i="3" a="1"/>
  <c r="I93" i="3" s="1"/>
  <c r="J92" i="3" a="1"/>
  <c r="J92" i="3" s="1"/>
  <c r="I92" i="3" a="1"/>
  <c r="I92" i="3" s="1"/>
  <c r="J91" i="3" a="1"/>
  <c r="J91" i="3" s="1"/>
  <c r="I91" i="3" a="1"/>
  <c r="I91" i="3" s="1"/>
  <c r="J90" i="3" a="1"/>
  <c r="J90" i="3" s="1"/>
  <c r="I90" i="3" a="1"/>
  <c r="I90" i="3" s="1"/>
  <c r="J89" i="3" a="1"/>
  <c r="J89" i="3" s="1"/>
  <c r="I89" i="3" a="1"/>
  <c r="I89" i="3" s="1"/>
  <c r="J88" i="3" a="1"/>
  <c r="J88" i="3" s="1"/>
  <c r="I88" i="3" a="1"/>
  <c r="I88" i="3" s="1"/>
  <c r="J87" i="3" a="1"/>
  <c r="J87" i="3" s="1"/>
  <c r="I87" i="3" a="1"/>
  <c r="I87" i="3" s="1"/>
  <c r="J86" i="3" a="1"/>
  <c r="J86" i="3" s="1"/>
  <c r="I86" i="3" a="1"/>
  <c r="I86" i="3" s="1"/>
  <c r="J85" i="3" a="1"/>
  <c r="J85" i="3" s="1"/>
  <c r="I85" i="3" a="1"/>
  <c r="I85" i="3" s="1"/>
  <c r="J84" i="3" a="1"/>
  <c r="J84" i="3" s="1"/>
  <c r="I84" i="3" a="1"/>
  <c r="I84" i="3" s="1"/>
  <c r="J83" i="3" a="1"/>
  <c r="J83" i="3" s="1"/>
  <c r="I83" i="3" a="1"/>
  <c r="I83" i="3" s="1"/>
  <c r="J82" i="3" a="1"/>
  <c r="J82" i="3" s="1"/>
  <c r="I82" i="3" a="1"/>
  <c r="I82" i="3" s="1"/>
  <c r="J81" i="3" a="1"/>
  <c r="J81" i="3" s="1"/>
  <c r="I81" i="3" a="1"/>
  <c r="I81" i="3" s="1"/>
  <c r="J80" i="3" a="1"/>
  <c r="J80" i="3" s="1"/>
  <c r="I80" i="3" a="1"/>
  <c r="I80" i="3" s="1"/>
  <c r="J79" i="3" a="1"/>
  <c r="J79" i="3" s="1"/>
  <c r="I79" i="3" a="1"/>
  <c r="I79" i="3" s="1"/>
  <c r="J78" i="3" a="1"/>
  <c r="J78" i="3" s="1"/>
  <c r="I78" i="3" a="1"/>
  <c r="I78" i="3" s="1"/>
  <c r="J77" i="3" a="1"/>
  <c r="J77" i="3" s="1"/>
  <c r="I77" i="3" a="1"/>
  <c r="I77" i="3" s="1"/>
  <c r="J76" i="3" a="1"/>
  <c r="J76" i="3" s="1"/>
  <c r="I76" i="3" a="1"/>
  <c r="I76" i="3" s="1"/>
  <c r="J75" i="3" a="1"/>
  <c r="J75" i="3" s="1"/>
  <c r="I75" i="3" a="1"/>
  <c r="I75" i="3" s="1"/>
  <c r="J74" i="3" a="1"/>
  <c r="J74" i="3" s="1"/>
  <c r="I74" i="3" a="1"/>
  <c r="I74" i="3" s="1"/>
  <c r="J73" i="3" a="1"/>
  <c r="J73" i="3" s="1"/>
  <c r="I73" i="3" a="1"/>
  <c r="I73" i="3" s="1"/>
  <c r="J72" i="3" a="1"/>
  <c r="J72" i="3" s="1"/>
  <c r="I72" i="3" a="1"/>
  <c r="I72" i="3" s="1"/>
  <c r="J71" i="3" a="1"/>
  <c r="J71" i="3" s="1"/>
  <c r="I71" i="3" a="1"/>
  <c r="I71" i="3" s="1"/>
  <c r="J70" i="3" a="1"/>
  <c r="J70" i="3" s="1"/>
  <c r="I70" i="3" a="1"/>
  <c r="I70" i="3" s="1"/>
  <c r="J69" i="3" a="1"/>
  <c r="J69" i="3" s="1"/>
  <c r="I69" i="3" a="1"/>
  <c r="I69" i="3" s="1"/>
  <c r="J68" i="3" a="1"/>
  <c r="J68" i="3" s="1"/>
  <c r="I68" i="3" a="1"/>
  <c r="I68" i="3" s="1"/>
  <c r="J67" i="3" a="1"/>
  <c r="J67" i="3" s="1"/>
  <c r="I67" i="3" a="1"/>
  <c r="I67" i="3" s="1"/>
  <c r="J66" i="3" a="1"/>
  <c r="J66" i="3" s="1"/>
  <c r="I66" i="3" a="1"/>
  <c r="I66" i="3" s="1"/>
  <c r="J65" i="3" a="1"/>
  <c r="J65" i="3" s="1"/>
  <c r="I65" i="3" a="1"/>
  <c r="I65" i="3" s="1"/>
  <c r="J64" i="3" a="1"/>
  <c r="J64" i="3" s="1"/>
  <c r="I64" i="3" a="1"/>
  <c r="I64" i="3" s="1"/>
  <c r="J63" i="3" a="1"/>
  <c r="J63" i="3" s="1"/>
  <c r="I63" i="3" a="1"/>
  <c r="I63" i="3" s="1"/>
  <c r="J62" i="3" a="1"/>
  <c r="J62" i="3" s="1"/>
  <c r="I62" i="3" a="1"/>
  <c r="I62" i="3" s="1"/>
  <c r="J61" i="3" a="1"/>
  <c r="J61" i="3" s="1"/>
  <c r="I61" i="3" a="1"/>
  <c r="I61" i="3" s="1"/>
  <c r="J60" i="3" a="1"/>
  <c r="J60" i="3" s="1"/>
  <c r="I60" i="3" a="1"/>
  <c r="I60" i="3" s="1"/>
  <c r="J59" i="3" a="1"/>
  <c r="J59" i="3" s="1"/>
  <c r="I59" i="3" a="1"/>
  <c r="I59" i="3" s="1"/>
  <c r="J58" i="3" a="1"/>
  <c r="J58" i="3" s="1"/>
  <c r="I58" i="3" a="1"/>
  <c r="I58" i="3" s="1"/>
  <c r="J57" i="3" a="1"/>
  <c r="J57" i="3" s="1"/>
  <c r="I57" i="3" a="1"/>
  <c r="I57" i="3" s="1"/>
  <c r="J56" i="3" a="1"/>
  <c r="J56" i="3" s="1"/>
  <c r="I56" i="3" a="1"/>
  <c r="I56" i="3" s="1"/>
  <c r="J55" i="3" a="1"/>
  <c r="J55" i="3" s="1"/>
  <c r="I55" i="3" a="1"/>
  <c r="I55" i="3" s="1"/>
  <c r="J54" i="3" a="1"/>
  <c r="J54" i="3" s="1"/>
  <c r="I54" i="3" a="1"/>
  <c r="I54" i="3" s="1"/>
  <c r="J53" i="3" a="1"/>
  <c r="J53" i="3" s="1"/>
  <c r="I53" i="3" a="1"/>
  <c r="I53" i="3" s="1"/>
  <c r="J52" i="3" a="1"/>
  <c r="J52" i="3" s="1"/>
  <c r="I52" i="3" a="1"/>
  <c r="I52" i="3" s="1"/>
  <c r="J51" i="3" a="1"/>
  <c r="J51" i="3" s="1"/>
  <c r="I51" i="3" a="1"/>
  <c r="I51" i="3" s="1"/>
  <c r="J50" i="3" a="1"/>
  <c r="J50" i="3" s="1"/>
  <c r="I50" i="3" a="1"/>
  <c r="I50" i="3" s="1"/>
  <c r="J49" i="3" a="1"/>
  <c r="J49" i="3" s="1"/>
  <c r="I49" i="3" a="1"/>
  <c r="I49" i="3" s="1"/>
  <c r="J48" i="3" a="1"/>
  <c r="J48" i="3" s="1"/>
  <c r="I48" i="3" a="1"/>
  <c r="I48" i="3" s="1"/>
  <c r="J47" i="3" a="1"/>
  <c r="J47" i="3" s="1"/>
  <c r="I47" i="3" a="1"/>
  <c r="I47" i="3" s="1"/>
  <c r="J46" i="3" a="1"/>
  <c r="J46" i="3" s="1"/>
  <c r="I46" i="3" a="1"/>
  <c r="I46" i="3" s="1"/>
  <c r="J45" i="3" a="1"/>
  <c r="J45" i="3" s="1"/>
  <c r="I45" i="3" a="1"/>
  <c r="I45" i="3" s="1"/>
  <c r="J44" i="3" a="1"/>
  <c r="J44" i="3" s="1"/>
  <c r="I44" i="3" a="1"/>
  <c r="I44" i="3" s="1"/>
  <c r="J43" i="3" a="1"/>
  <c r="J43" i="3" s="1"/>
  <c r="I43" i="3" a="1"/>
  <c r="I43" i="3" s="1"/>
  <c r="J42" i="3" a="1"/>
  <c r="J42" i="3" s="1"/>
  <c r="I42" i="3" a="1"/>
  <c r="I42" i="3" s="1"/>
  <c r="J41" i="3" a="1"/>
  <c r="J41" i="3" s="1"/>
  <c r="I41" i="3" a="1"/>
  <c r="I41" i="3" s="1"/>
  <c r="J40" i="3" a="1"/>
  <c r="J40" i="3" s="1"/>
  <c r="I40" i="3" a="1"/>
  <c r="I40" i="3" s="1"/>
  <c r="J39" i="3" a="1"/>
  <c r="J39" i="3" s="1"/>
  <c r="I39" i="3" a="1"/>
  <c r="I39" i="3" s="1"/>
  <c r="J38" i="3" a="1"/>
  <c r="J38" i="3" s="1"/>
  <c r="I38" i="3" a="1"/>
  <c r="I38" i="3" s="1"/>
  <c r="J37" i="3" a="1"/>
  <c r="J37" i="3" s="1"/>
  <c r="I37" i="3" a="1"/>
  <c r="I37" i="3" s="1"/>
  <c r="J36" i="3" a="1"/>
  <c r="J36" i="3" s="1"/>
  <c r="I36" i="3" a="1"/>
  <c r="I36" i="3" s="1"/>
  <c r="J35" i="3" a="1"/>
  <c r="J35" i="3" s="1"/>
  <c r="I35" i="3" a="1"/>
  <c r="I35" i="3" s="1"/>
  <c r="J34" i="3" a="1"/>
  <c r="J34" i="3" s="1"/>
  <c r="I34" i="3" a="1"/>
  <c r="I34" i="3" s="1"/>
  <c r="J33" i="3" a="1"/>
  <c r="J33" i="3" s="1"/>
  <c r="I33" i="3" a="1"/>
  <c r="I33" i="3" s="1"/>
  <c r="J32" i="3" a="1"/>
  <c r="J32" i="3" s="1"/>
  <c r="I32" i="3" a="1"/>
  <c r="I32" i="3" s="1"/>
  <c r="J31" i="3" a="1"/>
  <c r="J31" i="3" s="1"/>
  <c r="I31" i="3" a="1"/>
  <c r="I31" i="3" s="1"/>
  <c r="J30" i="3" a="1"/>
  <c r="J30" i="3" s="1"/>
  <c r="I30" i="3" a="1"/>
  <c r="I30" i="3" s="1"/>
  <c r="J29" i="3" a="1"/>
  <c r="J29" i="3" s="1"/>
  <c r="I29" i="3" a="1"/>
  <c r="I29" i="3" s="1"/>
  <c r="J28" i="3" a="1"/>
  <c r="J28" i="3" s="1"/>
  <c r="I28" i="3" a="1"/>
  <c r="I28" i="3" s="1"/>
  <c r="J27" i="3" a="1"/>
  <c r="J27" i="3" s="1"/>
  <c r="I27" i="3" a="1"/>
  <c r="I27" i="3" s="1"/>
  <c r="J26" i="3" a="1"/>
  <c r="J26" i="3" s="1"/>
  <c r="I26" i="3" a="1"/>
  <c r="I26" i="3" s="1"/>
  <c r="J25" i="3" a="1"/>
  <c r="J25" i="3" s="1"/>
  <c r="I25" i="3" a="1"/>
  <c r="I25" i="3" s="1"/>
  <c r="J24" i="3" a="1"/>
  <c r="J24" i="3" s="1"/>
  <c r="I24" i="3" a="1"/>
  <c r="I24" i="3" s="1"/>
  <c r="J23" i="3" a="1"/>
  <c r="J23" i="3" s="1"/>
  <c r="I23" i="3" a="1"/>
  <c r="I23" i="3" s="1"/>
  <c r="J22" i="3" a="1"/>
  <c r="J22" i="3" s="1"/>
  <c r="I22" i="3" a="1"/>
  <c r="I22" i="3" s="1"/>
  <c r="J21" i="3" a="1"/>
  <c r="J21" i="3" s="1"/>
  <c r="I21" i="3" a="1"/>
  <c r="I21" i="3" s="1"/>
  <c r="J20" i="3" a="1"/>
  <c r="J20" i="3" s="1"/>
  <c r="I20" i="3" a="1"/>
  <c r="I20" i="3" s="1"/>
  <c r="J19" i="3" a="1"/>
  <c r="J19" i="3" s="1"/>
  <c r="I19" i="3" a="1"/>
  <c r="I19" i="3" s="1"/>
  <c r="J18" i="3" a="1"/>
  <c r="J18" i="3" s="1"/>
  <c r="I18" i="3" a="1"/>
  <c r="I18" i="3" s="1"/>
  <c r="J17" i="3" a="1"/>
  <c r="J17" i="3" s="1"/>
  <c r="I17" i="3" a="1"/>
  <c r="I17" i="3" s="1"/>
  <c r="J16" i="3" a="1"/>
  <c r="J16" i="3" s="1"/>
  <c r="I16" i="3" a="1"/>
  <c r="I16" i="3" s="1"/>
  <c r="J15" i="3" a="1"/>
  <c r="J15" i="3" s="1"/>
  <c r="I15" i="3" a="1"/>
  <c r="I15" i="3" s="1"/>
  <c r="J14" i="3" a="1"/>
  <c r="J14" i="3" s="1"/>
  <c r="I14" i="3" a="1"/>
  <c r="I14" i="3" s="1"/>
  <c r="J13" i="3" a="1"/>
  <c r="J13" i="3" s="1"/>
  <c r="I13" i="3" a="1"/>
  <c r="I13" i="3" s="1"/>
  <c r="J12" i="3" a="1"/>
  <c r="J12" i="3" s="1"/>
  <c r="I12" i="3" a="1"/>
  <c r="I12" i="3" s="1"/>
  <c r="J11" i="3" a="1"/>
  <c r="J11" i="3" s="1"/>
  <c r="I11" i="3" a="1"/>
  <c r="I11" i="3" s="1"/>
  <c r="J10" i="3" a="1"/>
  <c r="J10" i="3" s="1"/>
  <c r="I10" i="3" a="1"/>
  <c r="I10" i="3" s="1"/>
  <c r="J9" i="3" a="1"/>
  <c r="J9" i="3" s="1"/>
  <c r="I9" i="3" a="1"/>
  <c r="I9" i="3" s="1"/>
  <c r="J8" i="3" a="1"/>
  <c r="J8" i="3" s="1"/>
  <c r="I8" i="3" a="1"/>
  <c r="I8" i="3" s="1"/>
  <c r="J7" i="3" a="1"/>
  <c r="J7" i="3" s="1"/>
  <c r="I7" i="3" a="1"/>
  <c r="I7" i="3" s="1"/>
  <c r="J6" i="3" a="1"/>
  <c r="J6" i="3" s="1"/>
  <c r="I6" i="3" a="1"/>
  <c r="I6" i="3" s="1"/>
  <c r="J5" i="3" a="1"/>
  <c r="J5" i="3" s="1"/>
  <c r="I5" i="3" a="1"/>
  <c r="I5" i="3" s="1"/>
  <c r="J4" i="3" a="1"/>
  <c r="J4" i="3" s="1"/>
  <c r="I4" i="3" a="1"/>
  <c r="I4" i="3" s="1"/>
  <c r="J3" i="3" a="1"/>
  <c r="J3" i="3" s="1"/>
  <c r="I3" i="3" a="1"/>
  <c r="I3" i="3" s="1"/>
  <c r="J2" i="3" a="1"/>
  <c r="J2" i="3" s="1"/>
  <c r="I2" i="3" a="1"/>
  <c r="I2" i="3" s="1"/>
  <c r="AF125" i="5" l="1"/>
  <c r="AF16" i="5"/>
  <c r="AJ16" i="5" s="1"/>
  <c r="AF38" i="5"/>
  <c r="AF65" i="5"/>
  <c r="AF130" i="5"/>
  <c r="AF119" i="5"/>
  <c r="AF68" i="5"/>
  <c r="AF100" i="5"/>
  <c r="AF50" i="5"/>
  <c r="AF62" i="5"/>
  <c r="AF128" i="5"/>
  <c r="AF21" i="5"/>
  <c r="AF106" i="5"/>
  <c r="AF137" i="5"/>
  <c r="AF146" i="5"/>
  <c r="AF124" i="5"/>
  <c r="AF105" i="5"/>
  <c r="AF149" i="5"/>
  <c r="AF133" i="5"/>
  <c r="AF23" i="5"/>
  <c r="AF6" i="5"/>
  <c r="AF51" i="5"/>
  <c r="AF12" i="5"/>
  <c r="AF64" i="5"/>
  <c r="AF143" i="5"/>
  <c r="AF18" i="5"/>
  <c r="AF15" i="5"/>
  <c r="AF114" i="5"/>
  <c r="AF70" i="5"/>
  <c r="AF140" i="5"/>
  <c r="AF56" i="5"/>
  <c r="AF5" i="5"/>
  <c r="AF57" i="5"/>
  <c r="AF136" i="5"/>
  <c r="AF87" i="5"/>
  <c r="AF97" i="5"/>
  <c r="AF36" i="5"/>
  <c r="AF22" i="5"/>
  <c r="AF72" i="5"/>
  <c r="AF82" i="5"/>
  <c r="AF55" i="5"/>
  <c r="AF27" i="5"/>
  <c r="AF3" i="5"/>
  <c r="AF138" i="5"/>
  <c r="AF66" i="5"/>
  <c r="AF144" i="5"/>
  <c r="AF113" i="5"/>
  <c r="AF71" i="5"/>
  <c r="AF4" i="5"/>
  <c r="AF28" i="5"/>
  <c r="AF24" i="5"/>
  <c r="AF77" i="5"/>
  <c r="AF63" i="5"/>
  <c r="AF78" i="5"/>
  <c r="AF42" i="5"/>
  <c r="AF90" i="5"/>
  <c r="AF74" i="5"/>
  <c r="AF9" i="5"/>
  <c r="AF80" i="5"/>
  <c r="AF48" i="5"/>
  <c r="AF89" i="5"/>
  <c r="AF29" i="5"/>
  <c r="AF123" i="5"/>
  <c r="AF59" i="5"/>
  <c r="AF139" i="5"/>
  <c r="AF127" i="5"/>
  <c r="AF61" i="5"/>
  <c r="AF151" i="5"/>
  <c r="AF101" i="5"/>
  <c r="AF26" i="5"/>
  <c r="AF110" i="5"/>
  <c r="AF88" i="5"/>
  <c r="AF120" i="5"/>
  <c r="AF141" i="5"/>
  <c r="AF99" i="5"/>
  <c r="AF98" i="5"/>
  <c r="AF53" i="5"/>
  <c r="AF35" i="5"/>
  <c r="AF112" i="5"/>
  <c r="AF116" i="5"/>
  <c r="AF31" i="5"/>
  <c r="AF150" i="5"/>
  <c r="AF79" i="5"/>
  <c r="AF69" i="5"/>
  <c r="AF8" i="5"/>
  <c r="AF103" i="5"/>
  <c r="AF34" i="5"/>
  <c r="AF47" i="5"/>
  <c r="AF58" i="5"/>
  <c r="AF10" i="5"/>
  <c r="AF43" i="5"/>
  <c r="AF92" i="5"/>
  <c r="AF122" i="5"/>
  <c r="AF121" i="5"/>
  <c r="AF39" i="5"/>
  <c r="AF115" i="5"/>
  <c r="AF40" i="5"/>
  <c r="AF81" i="5"/>
  <c r="AF129" i="5"/>
  <c r="AF85" i="5"/>
  <c r="AF95" i="5"/>
  <c r="AF7" i="5"/>
  <c r="AF19" i="5"/>
  <c r="AF126" i="5"/>
  <c r="AF75" i="5"/>
  <c r="AF11" i="5"/>
  <c r="AF83" i="5"/>
  <c r="AF45" i="5"/>
  <c r="AF76" i="5"/>
  <c r="AF93" i="5"/>
  <c r="AF73" i="5"/>
  <c r="AF86" i="5"/>
  <c r="AF148" i="5"/>
  <c r="AF54" i="5"/>
  <c r="AF147" i="5"/>
  <c r="AF102" i="5"/>
  <c r="AF52" i="5"/>
  <c r="AF109" i="5"/>
  <c r="AF25" i="5"/>
  <c r="AF111" i="5"/>
  <c r="AF104" i="5"/>
  <c r="AF60" i="5"/>
  <c r="AF67" i="5"/>
  <c r="AF44" i="5"/>
  <c r="AF30" i="5"/>
  <c r="AF107" i="5"/>
  <c r="AF84" i="5"/>
  <c r="AF49" i="5"/>
  <c r="X66" i="5"/>
  <c r="X141" i="5"/>
  <c r="X114" i="5"/>
  <c r="X70" i="5"/>
  <c r="X86" i="5"/>
  <c r="X33" i="5"/>
  <c r="X80" i="5"/>
  <c r="X95" i="5"/>
  <c r="X133" i="5"/>
  <c r="X93" i="5"/>
  <c r="X54" i="5"/>
  <c r="X126" i="5"/>
  <c r="X71" i="5"/>
  <c r="X136" i="5"/>
  <c r="X131" i="5"/>
  <c r="X123" i="5"/>
  <c r="X124" i="5"/>
  <c r="X30" i="5"/>
  <c r="X139" i="5"/>
  <c r="X116" i="5"/>
  <c r="X75" i="5"/>
  <c r="X143" i="5"/>
  <c r="X56" i="5"/>
  <c r="X57" i="5"/>
  <c r="X115" i="5"/>
  <c r="X60" i="5"/>
  <c r="X72" i="5"/>
  <c r="X140" i="5"/>
  <c r="X47" i="5"/>
  <c r="X150" i="5"/>
  <c r="X146" i="5"/>
  <c r="X55" i="5"/>
  <c r="P70" i="4"/>
  <c r="P94" i="4"/>
  <c r="P118" i="4"/>
  <c r="P23" i="4"/>
  <c r="P47" i="4"/>
  <c r="P71" i="4"/>
  <c r="P95" i="4"/>
  <c r="P119" i="4"/>
  <c r="P143" i="4"/>
  <c r="P98" i="4"/>
  <c r="P122" i="4"/>
  <c r="P146" i="4"/>
  <c r="P3" i="4"/>
  <c r="P27" i="4"/>
  <c r="P51" i="4"/>
  <c r="P75" i="4"/>
  <c r="P99" i="4"/>
  <c r="P123" i="4"/>
  <c r="P6" i="4"/>
  <c r="P30" i="4"/>
  <c r="P54" i="4"/>
  <c r="P78" i="4"/>
  <c r="P102" i="4"/>
  <c r="P126" i="4"/>
  <c r="P150" i="4"/>
  <c r="P25" i="4"/>
  <c r="P7" i="4"/>
  <c r="O153" i="4"/>
  <c r="P124" i="4" s="1"/>
  <c r="X37" i="5"/>
  <c r="X102" i="5"/>
  <c r="X3" i="5"/>
  <c r="AF20" i="5"/>
  <c r="AF13" i="5"/>
  <c r="AF41" i="5"/>
  <c r="AF32" i="5"/>
  <c r="X99" i="5"/>
  <c r="X134" i="5"/>
  <c r="X24" i="5"/>
  <c r="X89" i="5"/>
  <c r="AF14" i="5"/>
  <c r="AF33" i="5"/>
  <c r="AF117" i="5"/>
  <c r="AF131" i="5"/>
  <c r="AF96" i="5"/>
  <c r="X106" i="5"/>
  <c r="X130" i="5"/>
  <c r="X144" i="5"/>
  <c r="X48" i="5"/>
  <c r="X138" i="5"/>
  <c r="X117" i="5"/>
  <c r="AF46" i="5"/>
  <c r="X38" i="5"/>
  <c r="X111" i="5"/>
  <c r="X45" i="5"/>
  <c r="X21" i="5"/>
  <c r="AF108" i="5"/>
  <c r="AF37" i="5"/>
  <c r="AF142" i="5"/>
  <c r="AF17" i="5"/>
  <c r="AF91" i="5"/>
  <c r="X96" i="5"/>
  <c r="X125" i="5"/>
  <c r="X121" i="5"/>
  <c r="X87" i="5"/>
  <c r="X135" i="5"/>
  <c r="AF132" i="5"/>
  <c r="AF135" i="5"/>
  <c r="AF145" i="5"/>
  <c r="AF94" i="5"/>
  <c r="X17" i="5"/>
  <c r="AF134" i="5"/>
  <c r="G22" i="5"/>
  <c r="G67" i="5"/>
  <c r="G137" i="5"/>
  <c r="G140" i="5"/>
  <c r="G129" i="5"/>
  <c r="G58" i="5"/>
  <c r="G81" i="5"/>
  <c r="G121" i="5"/>
  <c r="G65" i="5"/>
  <c r="G102" i="5"/>
  <c r="G66" i="5"/>
  <c r="G12" i="5"/>
  <c r="G73" i="5"/>
  <c r="G59" i="5"/>
  <c r="G68" i="5"/>
  <c r="G88" i="5"/>
  <c r="G139" i="5"/>
  <c r="G37" i="5"/>
  <c r="G85" i="5"/>
  <c r="G15" i="5"/>
  <c r="G69" i="5"/>
  <c r="G118" i="5"/>
  <c r="G151" i="5"/>
  <c r="G57" i="5"/>
  <c r="G113" i="5"/>
  <c r="G101" i="5"/>
  <c r="G83" i="5"/>
  <c r="G147" i="5"/>
  <c r="G91" i="5"/>
  <c r="G90" i="5"/>
  <c r="G106" i="5"/>
  <c r="G138" i="5"/>
  <c r="G49" i="5"/>
  <c r="G133" i="5"/>
  <c r="G135" i="5"/>
  <c r="G98" i="5"/>
  <c r="G108" i="5"/>
  <c r="G64" i="5"/>
  <c r="G78" i="5"/>
  <c r="G56" i="5"/>
  <c r="G107" i="5"/>
  <c r="G100" i="5"/>
  <c r="G26" i="5"/>
  <c r="G52" i="5"/>
  <c r="G32" i="5"/>
  <c r="G92" i="5"/>
  <c r="G112" i="5"/>
  <c r="G93" i="5"/>
  <c r="G35" i="5"/>
  <c r="G42" i="5"/>
  <c r="G39" i="5"/>
  <c r="G131" i="5"/>
  <c r="G63" i="5"/>
  <c r="G89" i="5"/>
  <c r="G116" i="5"/>
  <c r="G136" i="5"/>
  <c r="G43" i="5"/>
  <c r="G71" i="5"/>
  <c r="G50" i="5"/>
  <c r="G143" i="5"/>
  <c r="G127" i="5"/>
  <c r="G54" i="5"/>
  <c r="G99" i="5"/>
  <c r="G103" i="5"/>
  <c r="G8" i="5"/>
  <c r="G110" i="5"/>
  <c r="G148" i="5"/>
  <c r="G33" i="5"/>
  <c r="G149" i="5"/>
  <c r="G76" i="5"/>
  <c r="G25" i="5"/>
  <c r="G146" i="5"/>
  <c r="G119" i="5"/>
  <c r="S17" i="5"/>
  <c r="F156" i="5"/>
  <c r="G3" i="5"/>
  <c r="G17" i="5"/>
  <c r="G9" i="5"/>
  <c r="S11" i="5"/>
  <c r="G61" i="5"/>
  <c r="G117" i="5"/>
  <c r="G123" i="5"/>
  <c r="G40" i="5"/>
  <c r="G94" i="5"/>
  <c r="G120" i="5"/>
  <c r="X40" i="5"/>
  <c r="X74" i="5"/>
  <c r="X78" i="5"/>
  <c r="X52" i="5"/>
  <c r="X108" i="5"/>
  <c r="X129" i="5"/>
  <c r="X4" i="5"/>
  <c r="X105" i="5"/>
  <c r="X107" i="5"/>
  <c r="X77" i="5"/>
  <c r="X31" i="5"/>
  <c r="X137" i="5"/>
  <c r="C158" i="5" l="1"/>
  <c r="P74" i="4"/>
  <c r="P125" i="4"/>
  <c r="P50" i="4"/>
  <c r="P141" i="4"/>
  <c r="P77" i="4"/>
  <c r="P145" i="4"/>
  <c r="P97" i="4"/>
  <c r="P149" i="4"/>
  <c r="P46" i="4"/>
  <c r="P22" i="4"/>
  <c r="P101" i="4"/>
  <c r="P117" i="4"/>
  <c r="P104" i="4"/>
  <c r="P53" i="4"/>
  <c r="P29" i="4"/>
  <c r="P69" i="4"/>
  <c r="P5" i="4"/>
  <c r="P32" i="4"/>
  <c r="P57" i="4"/>
  <c r="P129" i="4"/>
  <c r="P13" i="4"/>
  <c r="P37" i="4"/>
  <c r="P61" i="4"/>
  <c r="P85" i="4"/>
  <c r="P109" i="4"/>
  <c r="P134" i="4"/>
  <c r="P15" i="4"/>
  <c r="P39" i="4"/>
  <c r="P63" i="4"/>
  <c r="P111" i="4"/>
  <c r="P135" i="4"/>
  <c r="P42" i="4"/>
  <c r="P114" i="4"/>
  <c r="P43" i="4"/>
  <c r="P115" i="4"/>
  <c r="P33" i="4"/>
  <c r="P81" i="4"/>
  <c r="P10" i="4"/>
  <c r="P34" i="4"/>
  <c r="P58" i="4"/>
  <c r="P82" i="4"/>
  <c r="P106" i="4"/>
  <c r="P130" i="4"/>
  <c r="P12" i="4"/>
  <c r="P36" i="4"/>
  <c r="P60" i="4"/>
  <c r="P84" i="4"/>
  <c r="P132" i="4"/>
  <c r="P133" i="4"/>
  <c r="P14" i="4"/>
  <c r="P38" i="4"/>
  <c r="P62" i="4"/>
  <c r="P86" i="4"/>
  <c r="P110" i="4"/>
  <c r="P87" i="4"/>
  <c r="P16" i="4"/>
  <c r="P64" i="4"/>
  <c r="P88" i="4"/>
  <c r="P112" i="4"/>
  <c r="P136" i="4"/>
  <c r="P41" i="4"/>
  <c r="P113" i="4"/>
  <c r="P18" i="4"/>
  <c r="P66" i="4"/>
  <c r="P90" i="4"/>
  <c r="P138" i="4"/>
  <c r="P19" i="4"/>
  <c r="P67" i="4"/>
  <c r="P91" i="4"/>
  <c r="P139" i="4"/>
  <c r="P65" i="4"/>
  <c r="P9" i="4"/>
  <c r="P105" i="4"/>
  <c r="P11" i="4"/>
  <c r="P35" i="4"/>
  <c r="P59" i="4"/>
  <c r="P83" i="4"/>
  <c r="P107" i="4"/>
  <c r="P131" i="4"/>
  <c r="P108" i="4"/>
  <c r="P40" i="4"/>
  <c r="P17" i="4"/>
  <c r="P89" i="4"/>
  <c r="P137" i="4"/>
  <c r="P26" i="4"/>
  <c r="P128" i="4"/>
  <c r="P2" i="4"/>
  <c r="Q2" i="4" s="1"/>
  <c r="Q3" i="4" s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P93" i="4"/>
  <c r="P80" i="4"/>
  <c r="P121" i="4"/>
  <c r="P56" i="4"/>
  <c r="P45" i="4"/>
  <c r="P148" i="4"/>
  <c r="P73" i="4"/>
  <c r="P21" i="4"/>
  <c r="P8" i="4"/>
  <c r="P49" i="4"/>
  <c r="P140" i="4"/>
  <c r="P151" i="4"/>
  <c r="P100" i="4"/>
  <c r="P144" i="4"/>
  <c r="P116" i="4"/>
  <c r="P127" i="4"/>
  <c r="P76" i="4"/>
  <c r="P120" i="4"/>
  <c r="P92" i="4"/>
  <c r="P103" i="4"/>
  <c r="P52" i="4"/>
  <c r="P96" i="4"/>
  <c r="P44" i="4"/>
  <c r="P79" i="4"/>
  <c r="P28" i="4"/>
  <c r="P72" i="4"/>
  <c r="P20" i="4"/>
  <c r="P55" i="4"/>
  <c r="P4" i="4"/>
  <c r="P48" i="4"/>
  <c r="P142" i="4"/>
  <c r="P31" i="4"/>
  <c r="P147" i="4"/>
  <c r="P24" i="4"/>
  <c r="P68" i="4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S29" i="5"/>
  <c r="E158" i="5"/>
  <c r="C161" i="5" s="1"/>
  <c r="S26" i="5" l="1"/>
  <c r="S38" i="5" l="1"/>
  <c r="S25" i="5" l="1"/>
  <c r="Z3" i="5"/>
  <c r="AB3" i="5" s="1"/>
  <c r="S16" i="5" l="1"/>
  <c r="S64" i="5" l="1"/>
  <c r="Y4" i="5" l="1"/>
  <c r="Q4" i="5"/>
  <c r="S4" i="5" s="1"/>
  <c r="S24" i="5" l="1"/>
  <c r="Z4" i="5"/>
  <c r="AB4" i="5" s="1"/>
  <c r="S30" i="5" l="1"/>
  <c r="S43" i="5" l="1"/>
  <c r="Z5" i="5"/>
  <c r="AB5" i="5" s="1"/>
  <c r="Y6" i="5"/>
  <c r="Z6" i="5" l="1"/>
  <c r="AB6" i="5" s="1"/>
  <c r="S22" i="5"/>
  <c r="S53" i="5" l="1"/>
  <c r="S13" i="5" l="1"/>
  <c r="S5" i="5" l="1"/>
  <c r="AB7" i="5"/>
  <c r="S44" i="5" l="1"/>
  <c r="S37" i="5" l="1"/>
  <c r="AB8" i="5"/>
  <c r="AB9" i="5" l="1"/>
  <c r="S10" i="5"/>
  <c r="S27" i="5" l="1"/>
  <c r="AB10" i="5" l="1"/>
  <c r="S55" i="5"/>
  <c r="AB11" i="5" l="1"/>
  <c r="S21" i="5"/>
  <c r="S23" i="5" l="1"/>
  <c r="AB12" i="5"/>
  <c r="S73" i="5" l="1"/>
  <c r="S39" i="5" l="1"/>
  <c r="AB13" i="5" l="1"/>
  <c r="S48" i="5"/>
  <c r="S19" i="5" l="1"/>
  <c r="AB14" i="5" l="1"/>
  <c r="S32" i="5"/>
  <c r="S49" i="5" l="1"/>
  <c r="S88" i="5" l="1"/>
  <c r="AB15" i="5"/>
  <c r="AB16" i="5" l="1"/>
  <c r="S118" i="5"/>
  <c r="S15" i="5" l="1"/>
  <c r="S74" i="5" l="1"/>
  <c r="S80" i="5" l="1"/>
  <c r="AB17" i="5" l="1"/>
  <c r="S70" i="5"/>
  <c r="S69" i="5" l="1"/>
  <c r="S110" i="5" l="1"/>
  <c r="S134" i="5" l="1"/>
  <c r="S46" i="5" l="1"/>
  <c r="S67" i="5" l="1"/>
  <c r="S34" i="5" l="1"/>
  <c r="S149" i="5" l="1"/>
  <c r="S8" i="5" l="1"/>
  <c r="S109" i="5" l="1"/>
  <c r="AB18" i="5"/>
  <c r="S86" i="5" l="1"/>
  <c r="S31" i="5" l="1"/>
  <c r="AB19" i="5"/>
  <c r="S81" i="5" l="1"/>
  <c r="S14" i="5" l="1"/>
  <c r="S108" i="5" l="1"/>
  <c r="S97" i="5" l="1"/>
  <c r="AJ2" i="5"/>
  <c r="S18" i="5" l="1"/>
  <c r="S77" i="5" l="1"/>
  <c r="S117" i="5" l="1"/>
  <c r="S60" i="5" l="1"/>
  <c r="AB20" i="5"/>
  <c r="AB21" i="5" l="1"/>
  <c r="S107" i="5"/>
  <c r="S137" i="5" l="1"/>
  <c r="S89" i="5" l="1"/>
  <c r="S132" i="5" l="1"/>
  <c r="S68" i="5" l="1"/>
  <c r="S83" i="5" l="1"/>
  <c r="S87" i="5" l="1"/>
  <c r="S90" i="5" l="1"/>
  <c r="AB22" i="5"/>
  <c r="S104" i="5" l="1"/>
  <c r="S96" i="5" l="1"/>
  <c r="S103" i="5" l="1"/>
  <c r="Q3" i="5" l="1"/>
  <c r="S3" i="5" s="1"/>
  <c r="S75" i="5" l="1"/>
  <c r="S136" i="5" l="1"/>
  <c r="AB23" i="5" l="1"/>
  <c r="S95" i="5"/>
  <c r="S57" i="5" l="1"/>
  <c r="S51" i="5" l="1"/>
  <c r="S12" i="5" l="1"/>
  <c r="S62" i="5" l="1"/>
  <c r="AJ17" i="5" l="1"/>
  <c r="S131" i="5"/>
  <c r="S9" i="5" l="1"/>
  <c r="AB24" i="5"/>
  <c r="S91" i="5" l="1"/>
  <c r="S52" i="5" l="1"/>
  <c r="S111" i="5" l="1"/>
  <c r="AB25" i="5"/>
  <c r="S65" i="5" l="1"/>
  <c r="S101" i="5" l="1"/>
  <c r="AB26" i="5"/>
  <c r="AJ19" i="5" l="1"/>
  <c r="AJ18" i="5"/>
  <c r="S41" i="5"/>
  <c r="AJ20" i="5" l="1"/>
  <c r="S71" i="5"/>
  <c r="AJ21" i="5" l="1"/>
  <c r="S76" i="5"/>
  <c r="AJ22" i="5" l="1"/>
  <c r="S33" i="5"/>
  <c r="AB27" i="5"/>
  <c r="AJ23" i="5" l="1"/>
  <c r="S82" i="5"/>
  <c r="AJ24" i="5" l="1"/>
  <c r="S35" i="5"/>
  <c r="AJ25" i="5" l="1"/>
  <c r="S36" i="5"/>
  <c r="AJ26" i="5" l="1"/>
  <c r="S20" i="5"/>
  <c r="AJ27" i="5" l="1"/>
  <c r="S54" i="5"/>
  <c r="AB28" i="5"/>
  <c r="AJ28" i="5" l="1"/>
  <c r="AB29" i="5"/>
  <c r="S98" i="5"/>
  <c r="AJ29" i="5" l="1"/>
  <c r="S143" i="5"/>
  <c r="AB30" i="5"/>
  <c r="AJ30" i="5" l="1"/>
  <c r="S123" i="5"/>
  <c r="AJ31" i="5" l="1"/>
  <c r="S144" i="5"/>
  <c r="AJ32" i="5" l="1"/>
  <c r="S122" i="5"/>
  <c r="AJ33" i="5" l="1"/>
  <c r="S113" i="5"/>
  <c r="AJ34" i="5" l="1"/>
  <c r="S116" i="5"/>
  <c r="AJ35" i="5" l="1"/>
  <c r="S128" i="5"/>
  <c r="AJ36" i="5" l="1"/>
  <c r="S126" i="5"/>
  <c r="AJ37" i="5" l="1"/>
  <c r="S151" i="5"/>
  <c r="AJ38" i="5" l="1"/>
  <c r="S142" i="5"/>
  <c r="AJ39" i="5" l="1"/>
  <c r="S85" i="5"/>
  <c r="AJ40" i="5" l="1"/>
  <c r="S141" i="5"/>
  <c r="AJ42" i="5" l="1"/>
  <c r="AJ41" i="5"/>
  <c r="S28" i="5"/>
  <c r="S127" i="5" l="1"/>
  <c r="S100" i="5" l="1"/>
  <c r="AB31" i="5" l="1"/>
  <c r="S40" i="5"/>
  <c r="AG3" i="5" l="1"/>
  <c r="S63" i="5"/>
  <c r="S106" i="5" l="1"/>
  <c r="AH3" i="5"/>
  <c r="AJ3" i="5" s="1"/>
  <c r="S92" i="5" l="1"/>
  <c r="S72" i="5" l="1"/>
  <c r="S105" i="5" l="1"/>
  <c r="S61" i="5" l="1"/>
  <c r="S124" i="5" l="1"/>
  <c r="S119" i="5" l="1"/>
  <c r="S121" i="5" l="1"/>
  <c r="S93" i="5" l="1"/>
  <c r="S120" i="5" l="1"/>
  <c r="S78" i="5" l="1"/>
  <c r="S146" i="5" l="1"/>
  <c r="S6" i="5" l="1"/>
  <c r="S84" i="5" l="1"/>
  <c r="S2" i="5" l="1"/>
  <c r="AG4" i="5" l="1"/>
  <c r="S140" i="5"/>
  <c r="AB32" i="5"/>
  <c r="AJ5" i="5" l="1"/>
  <c r="S66" i="5"/>
  <c r="AJ4" i="5"/>
  <c r="AJ6" i="5" l="1"/>
  <c r="S135" i="5"/>
  <c r="AB33" i="5"/>
  <c r="AJ7" i="5" l="1"/>
  <c r="S147" i="5"/>
  <c r="AJ8" i="5" l="1"/>
  <c r="AJ9" i="5"/>
  <c r="S138" i="5"/>
  <c r="S133" i="5" l="1"/>
  <c r="S115" i="5" l="1"/>
  <c r="S58" i="5" l="1"/>
  <c r="S148" i="5" l="1"/>
  <c r="S129" i="5" l="1"/>
  <c r="S112" i="5" l="1"/>
  <c r="S50" i="5" l="1"/>
  <c r="S102" i="5" l="1"/>
  <c r="S139" i="5" l="1"/>
  <c r="S130" i="5" l="1"/>
  <c r="S79" i="5" l="1"/>
  <c r="S7" i="5" l="1"/>
  <c r="S125" i="5" l="1"/>
  <c r="AJ11" i="5" l="1"/>
  <c r="AJ10" i="5"/>
  <c r="S145" i="5"/>
  <c r="AJ12" i="5" l="1"/>
  <c r="S114" i="5"/>
  <c r="AB34" i="5"/>
  <c r="AJ13" i="5" l="1"/>
  <c r="S150" i="5"/>
  <c r="AJ15" i="5" l="1"/>
  <c r="AJ14" i="5"/>
  <c r="S94" i="5"/>
  <c r="S59" i="5" l="1"/>
  <c r="S99" i="5" l="1"/>
  <c r="AB35" i="5" l="1"/>
  <c r="S47" i="5"/>
  <c r="S42" i="5" l="1"/>
  <c r="AJ44" i="5" l="1"/>
  <c r="AB37" i="5"/>
  <c r="O158" i="5"/>
  <c r="Q158" i="5" s="1"/>
  <c r="O161" i="5" s="1"/>
  <c r="AJ43" i="5"/>
  <c r="AB36" i="5"/>
  <c r="AJ45" i="5" l="1"/>
  <c r="AB38" i="5"/>
  <c r="AJ46" i="5" l="1"/>
  <c r="AB39" i="5"/>
  <c r="AJ47" i="5" l="1"/>
  <c r="AB40" i="5"/>
  <c r="AJ48" i="5" l="1"/>
  <c r="AB41" i="5"/>
  <c r="AJ49" i="5" l="1"/>
  <c r="AB42" i="5"/>
  <c r="AJ50" i="5" l="1"/>
  <c r="AB43" i="5"/>
  <c r="AJ51" i="5" l="1"/>
  <c r="AB44" i="5"/>
  <c r="AJ52" i="5" l="1"/>
  <c r="AB45" i="5"/>
  <c r="AJ53" i="5" l="1"/>
  <c r="AB46" i="5"/>
  <c r="AJ54" i="5" l="1"/>
  <c r="AB47" i="5"/>
  <c r="AJ55" i="5" l="1"/>
  <c r="AB48" i="5"/>
  <c r="AJ56" i="5" l="1"/>
  <c r="AB49" i="5"/>
  <c r="AJ57" i="5" l="1"/>
  <c r="AB50" i="5"/>
  <c r="AJ58" i="5" l="1"/>
  <c r="AB51" i="5"/>
  <c r="AJ59" i="5" l="1"/>
  <c r="AB52" i="5"/>
  <c r="AJ60" i="5" l="1"/>
  <c r="AB53" i="5"/>
  <c r="AJ61" i="5" l="1"/>
  <c r="AB54" i="5"/>
  <c r="AJ62" i="5" l="1"/>
  <c r="AB55" i="5"/>
  <c r="AJ63" i="5" l="1"/>
  <c r="AB56" i="5"/>
  <c r="AJ64" i="5" l="1"/>
  <c r="AB57" i="5"/>
  <c r="AJ65" i="5" l="1"/>
  <c r="AB58" i="5"/>
  <c r="AJ66" i="5" l="1"/>
  <c r="AB59" i="5"/>
  <c r="AJ67" i="5" l="1"/>
  <c r="AB60" i="5"/>
  <c r="AJ68" i="5" l="1"/>
  <c r="AB61" i="5"/>
  <c r="AJ69" i="5" l="1"/>
  <c r="AB62" i="5"/>
  <c r="AJ70" i="5" l="1"/>
  <c r="AB63" i="5"/>
  <c r="AJ71" i="5" l="1"/>
  <c r="AB64" i="5"/>
  <c r="AJ72" i="5" l="1"/>
  <c r="AB65" i="5"/>
  <c r="AJ73" i="5" l="1"/>
  <c r="AB66" i="5"/>
  <c r="AJ74" i="5" l="1"/>
  <c r="AB67" i="5"/>
  <c r="AJ75" i="5" l="1"/>
  <c r="AB68" i="5"/>
  <c r="AJ76" i="5" l="1"/>
  <c r="AB69" i="5"/>
  <c r="AJ77" i="5" l="1"/>
  <c r="AB70" i="5"/>
  <c r="AJ78" i="5" l="1"/>
  <c r="AB71" i="5"/>
  <c r="AJ79" i="5" l="1"/>
  <c r="AB72" i="5"/>
  <c r="AJ80" i="5" l="1"/>
  <c r="AB73" i="5"/>
  <c r="AJ81" i="5" l="1"/>
  <c r="AB74" i="5"/>
  <c r="AJ82" i="5" l="1"/>
  <c r="AB75" i="5"/>
  <c r="AJ83" i="5" l="1"/>
  <c r="AB76" i="5"/>
  <c r="AJ84" i="5" l="1"/>
  <c r="AB77" i="5"/>
  <c r="AJ85" i="5" l="1"/>
  <c r="AB78" i="5"/>
  <c r="AJ86" i="5" l="1"/>
  <c r="AB79" i="5"/>
  <c r="AJ87" i="5" l="1"/>
  <c r="AB80" i="5"/>
  <c r="AJ88" i="5" l="1"/>
  <c r="AB81" i="5"/>
  <c r="AJ89" i="5" l="1"/>
  <c r="AB82" i="5"/>
  <c r="AJ90" i="5" l="1"/>
  <c r="AB83" i="5"/>
  <c r="AJ91" i="5" l="1"/>
  <c r="AB84" i="5"/>
  <c r="AJ92" i="5" l="1"/>
  <c r="AB85" i="5"/>
  <c r="AJ93" i="5" l="1"/>
  <c r="AB86" i="5"/>
  <c r="AJ94" i="5" l="1"/>
  <c r="AB87" i="5"/>
  <c r="AJ95" i="5" l="1"/>
  <c r="AB88" i="5"/>
  <c r="AJ96" i="5" l="1"/>
  <c r="AB89" i="5"/>
  <c r="AJ97" i="5" l="1"/>
  <c r="AB90" i="5"/>
  <c r="AJ98" i="5" l="1"/>
  <c r="AB91" i="5"/>
  <c r="AJ99" i="5" l="1"/>
  <c r="AB92" i="5"/>
  <c r="AJ100" i="5" l="1"/>
  <c r="AB93" i="5"/>
  <c r="AJ101" i="5" l="1"/>
  <c r="AB94" i="5"/>
  <c r="AJ102" i="5" l="1"/>
  <c r="AB95" i="5"/>
  <c r="AJ103" i="5" l="1"/>
  <c r="AB96" i="5"/>
  <c r="AJ104" i="5" l="1"/>
  <c r="AB97" i="5"/>
  <c r="AJ105" i="5" l="1"/>
  <c r="AB98" i="5"/>
  <c r="AJ106" i="5" l="1"/>
  <c r="AB99" i="5"/>
  <c r="AJ107" i="5" l="1"/>
  <c r="AB100" i="5"/>
  <c r="AJ108" i="5" l="1"/>
  <c r="AB101" i="5"/>
  <c r="AJ109" i="5" l="1"/>
  <c r="AB102" i="5"/>
  <c r="AJ110" i="5" l="1"/>
  <c r="AB103" i="5"/>
  <c r="AJ111" i="5" l="1"/>
  <c r="AB104" i="5"/>
  <c r="AJ112" i="5" l="1"/>
  <c r="AB105" i="5"/>
  <c r="AJ113" i="5" l="1"/>
  <c r="AB106" i="5"/>
  <c r="AJ114" i="5" l="1"/>
  <c r="AB107" i="5"/>
  <c r="AJ115" i="5" l="1"/>
  <c r="AB108" i="5"/>
  <c r="AJ116" i="5" l="1"/>
  <c r="AB109" i="5"/>
  <c r="AJ117" i="5" l="1"/>
  <c r="AB110" i="5"/>
  <c r="AJ118" i="5" l="1"/>
  <c r="AB111" i="5"/>
  <c r="AJ119" i="5" l="1"/>
  <c r="AB112" i="5"/>
  <c r="AJ120" i="5" l="1"/>
  <c r="AB113" i="5"/>
  <c r="AJ121" i="5" l="1"/>
  <c r="AB114" i="5"/>
  <c r="AJ122" i="5" l="1"/>
  <c r="AB115" i="5"/>
  <c r="AJ123" i="5" l="1"/>
  <c r="AB116" i="5"/>
  <c r="AJ124" i="5" l="1"/>
  <c r="AB117" i="5"/>
  <c r="AJ125" i="5" l="1"/>
  <c r="AB118" i="5"/>
  <c r="AJ126" i="5" l="1"/>
  <c r="AB119" i="5"/>
  <c r="AJ127" i="5" l="1"/>
  <c r="AB120" i="5"/>
  <c r="AJ128" i="5" l="1"/>
  <c r="AB121" i="5"/>
  <c r="AJ129" i="5" l="1"/>
  <c r="AB122" i="5"/>
  <c r="AJ130" i="5" l="1"/>
  <c r="AB123" i="5"/>
  <c r="AJ131" i="5" l="1"/>
  <c r="AB124" i="5"/>
  <c r="AJ132" i="5" l="1"/>
  <c r="AB125" i="5"/>
  <c r="AJ133" i="5" l="1"/>
  <c r="AB126" i="5"/>
  <c r="AJ134" i="5" l="1"/>
  <c r="AB127" i="5"/>
  <c r="AJ135" i="5" l="1"/>
  <c r="AB128" i="5"/>
  <c r="AJ136" i="5" l="1"/>
  <c r="AB129" i="5"/>
  <c r="AJ137" i="5" l="1"/>
  <c r="AB130" i="5"/>
  <c r="AJ138" i="5" l="1"/>
  <c r="AB131" i="5"/>
  <c r="AJ139" i="5" l="1"/>
  <c r="AB132" i="5"/>
  <c r="AJ140" i="5" l="1"/>
  <c r="AB133" i="5"/>
  <c r="AJ141" i="5" l="1"/>
  <c r="AB134" i="5"/>
  <c r="AJ142" i="5" l="1"/>
  <c r="AB135" i="5"/>
  <c r="AJ143" i="5" l="1"/>
  <c r="AB136" i="5"/>
  <c r="AJ144" i="5" l="1"/>
  <c r="AB137" i="5"/>
  <c r="AJ145" i="5" l="1"/>
  <c r="AB138" i="5"/>
  <c r="AJ146" i="5" l="1"/>
  <c r="AB139" i="5"/>
  <c r="AJ147" i="5" l="1"/>
  <c r="AB140" i="5"/>
  <c r="AJ148" i="5" l="1"/>
  <c r="AB141" i="5"/>
  <c r="AJ149" i="5" l="1"/>
  <c r="AB142" i="5"/>
  <c r="AJ151" i="5" l="1"/>
  <c r="AJ150" i="5"/>
  <c r="AB143" i="5"/>
  <c r="AF158" i="5" l="1"/>
  <c r="AH158" i="5" s="1"/>
  <c r="AF161" i="5" s="1"/>
  <c r="AB144" i="5"/>
  <c r="AB145" i="5" l="1"/>
  <c r="AB146" i="5" l="1"/>
  <c r="AB147" i="5" l="1"/>
  <c r="AB148" i="5" l="1"/>
  <c r="AB149" i="5" l="1"/>
  <c r="AB151" i="5" l="1"/>
  <c r="AB150" i="5"/>
  <c r="X158" i="5" l="1"/>
  <c r="Z158" i="5" s="1"/>
  <c r="X16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<sst xmlns="http://schemas.openxmlformats.org/spreadsheetml/2006/main" count="2689" uniqueCount="770">
  <si>
    <t>地区</t>
  </si>
  <si>
    <t>Utility-scale PV GW</t>
  </si>
  <si>
    <t>Distributed PV GW</t>
  </si>
  <si>
    <t>分布式人均装机 MW/万人</t>
  </si>
  <si>
    <t>集中式人均装机 MW/万人</t>
  </si>
  <si>
    <t>LUXEMBOURG</t>
  </si>
  <si>
    <t>IRELAND</t>
  </si>
  <si>
    <t>SWITZERLAND</t>
  </si>
  <si>
    <t>NORWAY</t>
  </si>
  <si>
    <t>SINGAPORE</t>
  </si>
  <si>
    <t>ICELAND</t>
  </si>
  <si>
    <t>QATAR</t>
  </si>
  <si>
    <t>UNITED STATES</t>
  </si>
  <si>
    <t>DENMARK</t>
  </si>
  <si>
    <t>AUSTRALIA</t>
  </si>
  <si>
    <t>NETHERLANDS</t>
  </si>
  <si>
    <t>SAN MARINO</t>
  </si>
  <si>
    <t>AUSTRIA</t>
  </si>
  <si>
    <t>BELGIUM</t>
  </si>
  <si>
    <t>SWEDEN</t>
  </si>
  <si>
    <t>GERMANY</t>
  </si>
  <si>
    <t>CANADA</t>
  </si>
  <si>
    <t>FINLAND</t>
  </si>
  <si>
    <t>ISRAEL</t>
  </si>
  <si>
    <t>UNITED KINGDOM</t>
  </si>
  <si>
    <t>UNITED ARAB EMIRATES</t>
  </si>
  <si>
    <t>NEW ZEALAND</t>
  </si>
  <si>
    <t>FRANCE</t>
  </si>
  <si>
    <t>MALTA</t>
  </si>
  <si>
    <t>ITALY</t>
  </si>
  <si>
    <t>CYPRUS</t>
  </si>
  <si>
    <t>SAUDI ARABIA</t>
  </si>
  <si>
    <t>KOREA, REPUBLIC OF</t>
  </si>
  <si>
    <t>KUWAIT</t>
  </si>
  <si>
    <t>JAPAN</t>
  </si>
  <si>
    <t>NEW CALEDONIA</t>
  </si>
  <si>
    <t>SPAIN</t>
  </si>
  <si>
    <t>BRUNEI</t>
  </si>
  <si>
    <t>SLOVENIA</t>
  </si>
  <si>
    <t>CZECH REPUBLIC</t>
  </si>
  <si>
    <t>ESTONIA</t>
  </si>
  <si>
    <t>LITHUANIA</t>
  </si>
  <si>
    <t>PORTUGAL</t>
  </si>
  <si>
    <t>SLOVAKIA</t>
  </si>
  <si>
    <t>GREECE</t>
  </si>
  <si>
    <t>URUGUAY</t>
  </si>
  <si>
    <t>LATVIA</t>
  </si>
  <si>
    <t>HUNGARY</t>
  </si>
  <si>
    <t>CROATIA</t>
  </si>
  <si>
    <t>POLAND</t>
  </si>
  <si>
    <t>OMAN</t>
  </si>
  <si>
    <t>GUYANA</t>
  </si>
  <si>
    <t>PANAMA</t>
  </si>
  <si>
    <t>ROMANIA</t>
  </si>
  <si>
    <t>CHILE</t>
  </si>
  <si>
    <t>COSTA RICA</t>
  </si>
  <si>
    <t>BULGARIA</t>
  </si>
  <si>
    <t>ARGENTINA</t>
  </si>
  <si>
    <t>RUSSIAN FEDERATION</t>
  </si>
  <si>
    <t>MEXICO</t>
  </si>
  <si>
    <t>TURKEY</t>
  </si>
  <si>
    <t>CHINA</t>
  </si>
  <si>
    <t>KAZAKHSTAN</t>
  </si>
  <si>
    <t>SERBIA</t>
  </si>
  <si>
    <t>MONTENEGRO</t>
  </si>
  <si>
    <t>MALAYSIA</t>
  </si>
  <si>
    <t>DOMINICAN REPUBLIC</t>
  </si>
  <si>
    <t>BRAZIL</t>
  </si>
  <si>
    <t>ALBANIA</t>
  </si>
  <si>
    <t>MACEDONIA,THE FORMER YUGOSLAV REPUBLIC OF</t>
  </si>
  <si>
    <t>BOSNIA AND HERZEGOVINA</t>
  </si>
  <si>
    <t>GEORGIA</t>
  </si>
  <si>
    <t>ARMENIA</t>
  </si>
  <si>
    <t>BELARUS</t>
  </si>
  <si>
    <t>PERU</t>
  </si>
  <si>
    <t>BOTSWANA</t>
  </si>
  <si>
    <t>GABON</t>
  </si>
  <si>
    <t>BELIZE</t>
  </si>
  <si>
    <t>THAILAND</t>
  </si>
  <si>
    <t>AZERBAIJAN</t>
  </si>
  <si>
    <t>COLOMBIA</t>
  </si>
  <si>
    <t>MOLDOVA</t>
  </si>
  <si>
    <t>ECUADOR</t>
  </si>
  <si>
    <t>EQUATORIAL GUINEA</t>
  </si>
  <si>
    <t>PARAGUAY</t>
  </si>
  <si>
    <t>TURKMENISTAN</t>
  </si>
  <si>
    <t>SOUTH AFRICA</t>
  </si>
  <si>
    <t>LIBYA</t>
  </si>
  <si>
    <t>IRAQ</t>
  </si>
  <si>
    <t>MONGOLIA</t>
  </si>
  <si>
    <t>GUATEMALA</t>
  </si>
  <si>
    <t>SURINAME</t>
  </si>
  <si>
    <t>ALGERIA</t>
  </si>
  <si>
    <t>EL SALVADOR</t>
  </si>
  <si>
    <t>UKRAINE</t>
  </si>
  <si>
    <t>IRAN</t>
  </si>
  <si>
    <t>INDONESIA</t>
  </si>
  <si>
    <t>JORDAN</t>
  </si>
  <si>
    <t>VIET NAM</t>
  </si>
  <si>
    <t>BOLIVIA</t>
  </si>
  <si>
    <t>NAMIBIA</t>
  </si>
  <si>
    <t>TUNISIA</t>
  </si>
  <si>
    <t>MOROCCO</t>
  </si>
  <si>
    <t>PHILIPPINES</t>
  </si>
  <si>
    <t>SRILANKA</t>
  </si>
  <si>
    <t>SWAZILAND</t>
  </si>
  <si>
    <t>VENEZUELA</t>
  </si>
  <si>
    <t>LEBANON</t>
  </si>
  <si>
    <t>EGYPT</t>
  </si>
  <si>
    <t>DJIBOUTI</t>
  </si>
  <si>
    <t>HONDURAS</t>
  </si>
  <si>
    <t>PAPUA NEW GUINEA</t>
  </si>
  <si>
    <t>ANGOLA</t>
  </si>
  <si>
    <t>UZBEKISTAN</t>
  </si>
  <si>
    <t>NICARAGUA</t>
  </si>
  <si>
    <t>COTE D’IVOIRE</t>
  </si>
  <si>
    <t>BANGLADESH</t>
  </si>
  <si>
    <t>INDIA</t>
  </si>
  <si>
    <t>CONGO</t>
  </si>
  <si>
    <t>CAMBODIA</t>
  </si>
  <si>
    <t>GHANA</t>
  </si>
  <si>
    <t>ZIMBABWE</t>
  </si>
  <si>
    <t>NIGERIA</t>
  </si>
  <si>
    <t>KYRGYZSTAN</t>
  </si>
  <si>
    <t>MAURITANIA</t>
  </si>
  <si>
    <t>LAOS</t>
  </si>
  <si>
    <t>KENYA</t>
  </si>
  <si>
    <t>CAMEROON</t>
  </si>
  <si>
    <t>HAITI</t>
  </si>
  <si>
    <t>SENEGAL</t>
  </si>
  <si>
    <t>GUINEA</t>
  </si>
  <si>
    <t>BENIN</t>
  </si>
  <si>
    <t>NEPAL</t>
  </si>
  <si>
    <t>PAKISTAN</t>
  </si>
  <si>
    <t>ZAMBIA</t>
  </si>
  <si>
    <t>MYANMAR</t>
  </si>
  <si>
    <t>TANZANIA</t>
  </si>
  <si>
    <t>TAJIKISTAN</t>
  </si>
  <si>
    <t>ETHIOPIA</t>
  </si>
  <si>
    <t>TOGO</t>
  </si>
  <si>
    <t>MALI</t>
  </si>
  <si>
    <t>RWANDA</t>
  </si>
  <si>
    <t>UGANDA</t>
  </si>
  <si>
    <t>GUINEA-BISSAU</t>
  </si>
  <si>
    <t>CHAD</t>
  </si>
  <si>
    <t>LESOTHO</t>
  </si>
  <si>
    <t>BURKINA FASO</t>
  </si>
  <si>
    <t>LIBERIA</t>
  </si>
  <si>
    <t>SUDAN</t>
  </si>
  <si>
    <t>SIERRA LEONE</t>
  </si>
  <si>
    <t>CONGO,THE DEMOCRATIC REPUBLIC OF THE</t>
  </si>
  <si>
    <t>NIGER</t>
  </si>
  <si>
    <t>MALAWI</t>
  </si>
  <si>
    <t>MOZAMBIQUE</t>
  </si>
  <si>
    <t>SOMALIA</t>
  </si>
  <si>
    <t>MADAGASCAR</t>
  </si>
  <si>
    <t>CENTRAL AFRICAN REPUBLIC</t>
  </si>
  <si>
    <t>AFGHANISTAN</t>
  </si>
  <si>
    <t>SYRIAN ARAB REPUBLIC</t>
  </si>
  <si>
    <t>CUBA</t>
  </si>
  <si>
    <t>REUNION</t>
  </si>
  <si>
    <t>KOREA,DEMOCRATIC PEOPLE'S REPUBLIC OF</t>
  </si>
  <si>
    <t>CANARIAS</t>
  </si>
  <si>
    <t>FRENCH GUIANA</t>
  </si>
  <si>
    <t>WESTERN SAHARA</t>
  </si>
  <si>
    <t>GUADELOUPE</t>
  </si>
  <si>
    <t>YEMEN</t>
  </si>
  <si>
    <t>MARTINIQUE</t>
  </si>
  <si>
    <t>MADEIRA</t>
  </si>
  <si>
    <t>CASPIAN SEA</t>
  </si>
  <si>
    <t>ERITREA</t>
  </si>
  <si>
    <t>VIRGIN ISLANDS,U.S.</t>
  </si>
  <si>
    <t>SOUTH SUDAN</t>
  </si>
  <si>
    <t>GIBRALTAR</t>
  </si>
  <si>
    <t>Country Name</t>
  </si>
  <si>
    <t>Country Name 
更新名字</t>
    <phoneticPr fontId="1" type="noConversion"/>
  </si>
  <si>
    <t>匹配不到的</t>
    <phoneticPr fontId="1" type="noConversion"/>
  </si>
  <si>
    <t>联合国分类</t>
    <phoneticPr fontId="1" type="noConversion"/>
  </si>
  <si>
    <t>Afghanistan</t>
  </si>
  <si>
    <t>Albania</t>
  </si>
  <si>
    <t>Algeria</t>
  </si>
  <si>
    <t>American Samoa</t>
  </si>
  <si>
    <t>..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</si>
  <si>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</si>
  <si>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</si>
  <si>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</si>
  <si>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</si>
  <si>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</si>
  <si>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</si>
  <si>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</si>
  <si>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</si>
  <si>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</si>
  <si>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</si>
  <si>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</si>
  <si>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</si>
  <si>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</si>
  <si>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</si>
  <si>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</si>
  <si>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BRUNEI</t>
    <phoneticPr fontId="1" type="noConversion"/>
  </si>
  <si>
    <t>Belize</t>
  </si>
  <si>
    <t>Benin</t>
  </si>
  <si>
    <t>Bermuda</t>
  </si>
  <si>
    <t>Bhutan</t>
  </si>
  <si>
    <t>Bolivia</t>
  </si>
  <si>
    <t>Bosnia and Herzegovina</t>
  </si>
  <si>
    <t>没有</t>
    <phoneticPr fontId="1" type="noConversion"/>
  </si>
  <si>
    <t>CANARIAS</t>
    <phoneticPr fontId="1" type="noConversion"/>
  </si>
  <si>
    <t>Botswana</t>
  </si>
  <si>
    <t>CASPIAN SEA</t>
    <phoneticPr fontId="1" type="noConversion"/>
  </si>
  <si>
    <t>Brazil</t>
  </si>
  <si>
    <t>British Virgin Islands</t>
  </si>
  <si>
    <t>Brunei Darussalam</t>
  </si>
  <si>
    <t>Bulgaria</t>
  </si>
  <si>
    <t>Burkina Faso</t>
  </si>
  <si>
    <t>Burundi</t>
  </si>
  <si>
    <t>CONGO</t>
    <phoneticPr fontId="1" type="noConversion"/>
  </si>
  <si>
    <t>Cabo Verde</t>
  </si>
  <si>
    <t>Cambodia</t>
  </si>
  <si>
    <t>Cameroon</t>
  </si>
  <si>
    <t>COTE D’IVOIRE</t>
    <phoneticPr fontId="1" type="noConversion"/>
  </si>
  <si>
    <t>Canada</t>
  </si>
  <si>
    <t>Cayman Islands</t>
  </si>
  <si>
    <t>Central African Republic</t>
  </si>
  <si>
    <t>Chad</t>
  </si>
  <si>
    <t>CZECH REPUBLIC</t>
    <phoneticPr fontId="1" type="noConversion"/>
  </si>
  <si>
    <t>Channel Islands</t>
  </si>
  <si>
    <t>Chile</t>
  </si>
  <si>
    <t>China</t>
  </si>
  <si>
    <t>Colombia</t>
  </si>
  <si>
    <t>Comoros</t>
  </si>
  <si>
    <t>EGYPT</t>
    <phoneticPr fontId="1" type="noConversion"/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</si>
  <si>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</si>
  <si>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</si>
  <si>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</si>
  <si>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</si>
  <si>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</si>
  <si>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</si>
  <si>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</si>
  <si>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</si>
  <si>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FRENCH GUIANA</t>
    <phoneticPr fontId="1" type="noConversion"/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</si>
  <si>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</si>
  <si>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</si>
  <si>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</si>
  <si>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</si>
  <si>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</si>
  <si>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</si>
  <si>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</si>
  <si>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GUADELOUPE</t>
    <phoneticPr fontId="1" type="noConversion"/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</si>
  <si>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</si>
  <si>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</si>
  <si>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</si>
  <si>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</si>
  <si>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</si>
  <si>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</si>
  <si>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</si>
  <si>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</si>
  <si>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</si>
  <si>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</si>
  <si>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</si>
  <si>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IRAN</t>
    <phoneticPr fontId="1" type="noConversion"/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</si>
  <si>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</si>
  <si>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</si>
  <si>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</si>
  <si>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</si>
  <si>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</si>
  <si>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</si>
  <si>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</si>
  <si>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</si>
  <si>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</si>
  <si>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</si>
  <si>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</si>
  <si>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</si>
  <si>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KYRGYZSTAN</t>
    <phoneticPr fontId="1" type="noConversion"/>
  </si>
  <si>
    <t>Guinea-Bissau</t>
  </si>
  <si>
    <t>LAOS</t>
    <phoneticPr fontId="1" type="noConversion"/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</si>
  <si>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</si>
  <si>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</si>
  <si>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</si>
  <si>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</si>
  <si>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</si>
  <si>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</si>
  <si>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</si>
  <si>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</si>
  <si>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MACEDONIA,THE FORMER YUGOSLAV REPUBLIC OF</t>
    <phoneticPr fontId="1" type="noConversion"/>
  </si>
  <si>
    <t>Iran, Islamic Rep.</t>
  </si>
  <si>
    <t>Iraq</t>
  </si>
  <si>
    <t>无</t>
    <phoneticPr fontId="1" type="noConversion"/>
  </si>
  <si>
    <t>MADEIRA</t>
    <phoneticPr fontId="1" type="noConversion"/>
  </si>
  <si>
    <t>Ireland</t>
  </si>
  <si>
    <t>Isle of Man</t>
  </si>
  <si>
    <t>Israel</t>
  </si>
  <si>
    <t>Italy</t>
  </si>
  <si>
    <t>Jamaica</t>
  </si>
  <si>
    <t>MARTINIQUE</t>
    <phoneticPr fontId="1" type="noConversion"/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</si>
  <si>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</si>
  <si>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</si>
  <si>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</si>
  <si>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</si>
  <si>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</si>
  <si>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</si>
  <si>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</si>
  <si>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</si>
  <si>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</si>
  <si>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</si>
  <si>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</si>
  <si>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</si>
  <si>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</si>
  <si>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</si>
  <si>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</si>
  <si>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</si>
  <si>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</si>
  <si>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</si>
  <si>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</si>
  <si>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</si>
  <si>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</si>
  <si>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</si>
  <si>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</si>
  <si>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</si>
  <si>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</si>
  <si>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</si>
  <si>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</si>
  <si>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</si>
  <si>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REUNION</t>
    <phoneticPr fontId="1" type="noConversion"/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</si>
  <si>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</si>
  <si>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</si>
  <si>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</si>
  <si>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</si>
  <si>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</si>
  <si>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</si>
  <si>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</si>
  <si>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</si>
  <si>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</si>
  <si>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</si>
  <si>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SLOVAKIA</t>
    <phoneticPr fontId="1" type="noConversion"/>
  </si>
  <si>
    <t>Namibia</t>
  </si>
  <si>
    <t>Nauru</t>
  </si>
  <si>
    <t>SOMALIA</t>
    <phoneticPr fontId="1" type="noConversion"/>
  </si>
  <si>
    <t>Nepal</t>
  </si>
  <si>
    <t>Netherlands</t>
  </si>
  <si>
    <t>New Caledonia</t>
  </si>
  <si>
    <t>New Zealand</t>
  </si>
  <si>
    <t>SRILANKA</t>
    <phoneticPr fontId="1" type="noConversion"/>
  </si>
  <si>
    <t>Nicaragua</t>
  </si>
  <si>
    <t>Niger</t>
  </si>
  <si>
    <t>Nigeria</t>
  </si>
  <si>
    <t>SWAZILAND</t>
    <phoneticPr fontId="1" type="noConversion"/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</si>
  <si>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</si>
  <si>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</si>
  <si>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</si>
  <si>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</si>
  <si>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</si>
  <si>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</si>
  <si>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</si>
  <si>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</si>
  <si>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</si>
  <si>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TURKEY</t>
    <phoneticPr fontId="1" type="noConversion"/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</si>
  <si>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</si>
  <si>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</si>
  <si>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</si>
  <si>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</si>
  <si>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</si>
  <si>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</si>
  <si>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</si>
  <si>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</si>
  <si>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</si>
  <si>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VENEZUELA</t>
    <phoneticPr fontId="1" type="noConversion"/>
  </si>
  <si>
    <t>Samoa</t>
  </si>
  <si>
    <t>San Marino</t>
  </si>
  <si>
    <t>VIRGIN ISLANDS,U.S.</t>
    <phoneticPr fontId="1" type="noConversion"/>
  </si>
  <si>
    <t>Sao Tome and Principe</t>
  </si>
  <si>
    <t>WESTERN SAHARA</t>
    <phoneticPr fontId="1" type="noConversion"/>
  </si>
  <si>
    <t>Saudi Arabia</t>
  </si>
  <si>
    <t>YEMEN</t>
    <phoneticPr fontId="1" type="noConversion"/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</si>
  <si>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</si>
  <si>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</si>
  <si>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</si>
  <si>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</si>
  <si>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</si>
  <si>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</si>
  <si>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</si>
  <si>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</si>
  <si>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</si>
  <si>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</si>
  <si>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</si>
  <si>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</si>
  <si>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</si>
  <si>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</si>
  <si>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</si>
  <si>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</si>
  <si>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</si>
  <si>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</si>
  <si>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</si>
  <si>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</si>
  <si>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</si>
  <si>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</si>
  <si>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</si>
  <si>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</si>
  <si>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</si>
  <si>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</si>
  <si>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</si>
  <si>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</si>
  <si>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</si>
  <si>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</si>
  <si>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</si>
  <si>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</si>
  <si>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</si>
  <si>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</si>
  <si>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</si>
  <si>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</si>
  <si>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</si>
  <si>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</si>
  <si>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</si>
  <si>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</si>
  <si>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</si>
  <si>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</si>
  <si>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</si>
  <si>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</si>
  <si>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</si>
  <si>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</si>
  <si>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</si>
  <si>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</si>
  <si>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</si>
  <si>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</si>
  <si>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</si>
  <si>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</si>
  <si>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</si>
  <si>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</si>
  <si>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</si>
  <si>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</si>
  <si>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</si>
  <si>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</si>
  <si>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</si>
  <si>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</si>
  <si>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</si>
  <si>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</si>
  <si>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</si>
  <si>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</si>
  <si>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</si>
  <si>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</si>
  <si>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</si>
  <si>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</si>
  <si>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</si>
  <si>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</si>
  <si>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</si>
  <si>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</si>
  <si>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</si>
  <si>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</si>
  <si>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</si>
  <si>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</si>
  <si>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</si>
  <si>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</si>
  <si>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</si>
  <si>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</si>
  <si>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</si>
  <si>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</si>
  <si>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</si>
  <si>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</si>
  <si>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</si>
  <si>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</si>
  <si>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</si>
  <si>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</si>
  <si>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</si>
  <si>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</si>
  <si>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</si>
  <si>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</si>
  <si>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</si>
  <si>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</si>
  <si>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</si>
  <si>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</si>
  <si>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</si>
  <si>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</si>
  <si>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</si>
  <si>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t>Data from database: World Development Indicators</t>
  </si>
  <si>
    <t>Last Updated: 12/19/2025</t>
  </si>
  <si>
    <t>total</t>
    <phoneticPr fontId="1" type="noConversion"/>
  </si>
  <si>
    <t>人均装机 MW/万人</t>
  </si>
  <si>
    <t>total PV</t>
    <phoneticPr fontId="1" type="noConversion"/>
  </si>
  <si>
    <t>total PV占比</t>
    <phoneticPr fontId="1" type="noConversion"/>
  </si>
  <si>
    <t>PV占比累加</t>
    <phoneticPr fontId="1" type="noConversion"/>
  </si>
  <si>
    <t>GDP</t>
    <phoneticPr fontId="1" type="noConversion"/>
  </si>
  <si>
    <t>GDP占比 
排序</t>
    <phoneticPr fontId="1" type="noConversion"/>
  </si>
  <si>
    <t>GDP占比累加</t>
    <phoneticPr fontId="1" type="noConversion"/>
  </si>
  <si>
    <t>上底+下底</t>
    <phoneticPr fontId="1" type="noConversion"/>
  </si>
  <si>
    <t>每个国家的高</t>
    <phoneticPr fontId="1" type="noConversion"/>
  </si>
  <si>
    <t>小矩形的面积</t>
    <phoneticPr fontId="1" type="noConversion"/>
  </si>
  <si>
    <t>total PV占比 排序</t>
    <phoneticPr fontId="1" type="noConversion"/>
  </si>
  <si>
    <t>Utility-scale PV GW 排序</t>
    <phoneticPr fontId="1" type="noConversion"/>
  </si>
  <si>
    <t>占比</t>
    <phoneticPr fontId="1" type="noConversion"/>
  </si>
  <si>
    <t>Distributed PV GW 排序</t>
    <phoneticPr fontId="1" type="noConversion"/>
  </si>
  <si>
    <t>B的面积</t>
    <phoneticPr fontId="1" type="noConversion"/>
  </si>
  <si>
    <t>A+B</t>
    <phoneticPr fontId="1" type="noConversion"/>
  </si>
  <si>
    <t>A的面积</t>
    <phoneticPr fontId="1" type="noConversion"/>
  </si>
  <si>
    <t>基尼系数</t>
    <phoneticPr fontId="1" type="noConversion"/>
  </si>
  <si>
    <t>Country Code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</si>
  <si>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</si>
  <si>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</si>
  <si>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</si>
  <si>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</si>
  <si>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</si>
  <si>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</si>
  <si>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</si>
  <si>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</si>
  <si>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</si>
  <si>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</si>
  <si>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</si>
  <si>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</si>
  <si>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</si>
  <si>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</si>
  <si>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</si>
  <si>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</si>
  <si>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</si>
  <si>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</si>
  <si>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</si>
  <si>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</si>
  <si>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</si>
  <si>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</si>
  <si>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</si>
  <si>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</si>
  <si>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</si>
  <si>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</si>
  <si>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</si>
  <si>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</si>
  <si>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</si>
  <si>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</si>
  <si>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</si>
  <si>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</si>
  <si>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</si>
  <si>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</si>
  <si>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</si>
  <si>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</si>
  <si>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</si>
  <si>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</si>
  <si>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</si>
  <si>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</si>
  <si>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</si>
  <si>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</si>
  <si>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</si>
  <si>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</si>
  <si>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</si>
  <si>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</si>
  <si>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</si>
  <si>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</si>
  <si>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</si>
  <si>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</si>
  <si>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</si>
  <si>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</si>
  <si>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</si>
  <si>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</si>
  <si>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</si>
  <si>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</si>
  <si>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</si>
  <si>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</si>
  <si>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</si>
  <si>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</si>
  <si>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</si>
  <si>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</si>
  <si>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</si>
  <si>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</si>
  <si>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</si>
  <si>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FRO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</si>
  <si>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</si>
  <si>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</si>
  <si>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</si>
  <si>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</si>
  <si>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</si>
  <si>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</si>
  <si>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</si>
  <si>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</si>
  <si>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</si>
  <si>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</si>
  <si>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</si>
  <si>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</si>
  <si>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</si>
  <si>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</si>
  <si>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</si>
  <si>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</si>
  <si>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</si>
  <si>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</si>
  <si>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</si>
  <si>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</si>
  <si>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</si>
  <si>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</si>
  <si>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</si>
  <si>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</si>
  <si>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</si>
  <si>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</si>
  <si>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</si>
  <si>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</si>
  <si>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</si>
  <si>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</si>
  <si>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</si>
  <si>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</si>
  <si>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</si>
  <si>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</si>
  <si>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</si>
  <si>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</si>
  <si>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</si>
  <si>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</si>
  <si>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</si>
  <si>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</si>
  <si>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</si>
  <si>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</si>
  <si>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</si>
  <si>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</si>
  <si>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</si>
  <si>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</si>
  <si>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</si>
  <si>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</si>
  <si>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</si>
  <si>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</si>
  <si>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</si>
  <si>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</si>
  <si>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</si>
  <si>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</si>
  <si>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</si>
  <si>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</si>
  <si>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</si>
  <si>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</si>
  <si>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</si>
  <si>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</si>
  <si>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</si>
  <si>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</si>
  <si>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</si>
  <si>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</si>
  <si>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</si>
  <si>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</si>
  <si>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</si>
  <si>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</si>
  <si>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</si>
  <si>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</si>
  <si>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</si>
  <si>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</si>
  <si>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</si>
  <si>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</si>
  <si>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</si>
  <si>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</si>
  <si>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</si>
  <si>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</si>
  <si>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</si>
  <si>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</si>
  <si>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</si>
  <si>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</si>
  <si>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</si>
  <si>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</si>
  <si>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</si>
  <si>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</si>
  <si>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</si>
  <si>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</si>
  <si>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</si>
  <si>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</si>
  <si>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</si>
  <si>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</si>
  <si>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</si>
  <si>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</si>
  <si>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</si>
  <si>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</si>
  <si>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</si>
  <si>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</si>
  <si>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</si>
  <si>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</si>
  <si>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</si>
  <si>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</si>
  <si>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</si>
  <si>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</si>
  <si>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</si>
  <si>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</si>
  <si>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</si>
  <si>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</si>
  <si>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</si>
  <si>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</si>
  <si>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</si>
  <si>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</si>
  <si>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</si>
  <si>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</si>
  <si>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</si>
  <si>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</si>
  <si>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</si>
  <si>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MAF</t>
  </si>
  <si>
    <t>VCT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</si>
  <si>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</si>
  <si>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</si>
  <si>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</si>
  <si>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</si>
  <si>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</si>
  <si>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</si>
  <si>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</si>
  <si>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</si>
  <si>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</si>
  <si>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</si>
  <si>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</si>
  <si>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</si>
  <si>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</si>
  <si>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</si>
  <si>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</si>
  <si>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</si>
  <si>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</si>
  <si>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</si>
  <si>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</si>
  <si>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</si>
  <si>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</si>
  <si>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</si>
  <si>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</si>
  <si>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</si>
  <si>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</si>
  <si>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</si>
  <si>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</si>
  <si>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VIR</t>
  </si>
  <si>
    <t>PSE</t>
  </si>
  <si>
    <t>YEM</t>
  </si>
  <si>
    <t>ZMB</t>
  </si>
  <si>
    <t>ZWE</t>
  </si>
  <si>
    <t>AFE</t>
  </si>
  <si>
    <t>AFW</t>
  </si>
  <si>
    <t>ARB</t>
  </si>
  <si>
    <t>CSS</t>
  </si>
  <si>
    <t>CEB</t>
  </si>
  <si>
    <t>EAR</t>
  </si>
  <si>
    <t>EAS</t>
  </si>
  <si>
    <t>EAP</t>
  </si>
  <si>
    <t>TEA</t>
  </si>
  <si>
    <t>EMU</t>
  </si>
  <si>
    <t>ECS</t>
  </si>
  <si>
    <t>ECA</t>
  </si>
  <si>
    <t>TEC</t>
  </si>
  <si>
    <t>EUU</t>
  </si>
  <si>
    <t>FCS</t>
  </si>
  <si>
    <t>HPC</t>
  </si>
  <si>
    <t>HIC</t>
  </si>
  <si>
    <t>IBD</t>
  </si>
  <si>
    <t>IBT</t>
  </si>
  <si>
    <t>IDB</t>
  </si>
  <si>
    <t>IDX</t>
  </si>
  <si>
    <t>IDA</t>
  </si>
  <si>
    <t>LTE</t>
  </si>
  <si>
    <t>LCN</t>
  </si>
  <si>
    <t>LAC</t>
  </si>
  <si>
    <t>TLA</t>
  </si>
  <si>
    <t>LDC</t>
  </si>
  <si>
    <t>LMY</t>
  </si>
  <si>
    <t>LIC</t>
  </si>
  <si>
    <t>LMC</t>
  </si>
  <si>
    <t>MEA</t>
  </si>
  <si>
    <t>MNA</t>
  </si>
  <si>
    <t>TMN</t>
  </si>
  <si>
    <t>MIC</t>
  </si>
  <si>
    <t>NAC</t>
  </si>
  <si>
    <t>INX</t>
  </si>
  <si>
    <t>OED</t>
  </si>
  <si>
    <t>OSS</t>
  </si>
  <si>
    <t>PSS</t>
  </si>
  <si>
    <t>PST</t>
  </si>
  <si>
    <t>PRE</t>
  </si>
  <si>
    <t>SST</t>
  </si>
  <si>
    <t>SAS</t>
  </si>
  <si>
    <t>TSA</t>
  </si>
  <si>
    <t>SSF</t>
  </si>
  <si>
    <t>SSA</t>
  </si>
  <si>
    <t>TSS</t>
  </si>
  <si>
    <t>UMC</t>
  </si>
  <si>
    <t>WLD</t>
  </si>
  <si>
    <t>Last Updated: 04/08/2026</t>
  </si>
  <si>
    <t>2024 GDP (constant 2015 US$)</t>
  </si>
  <si>
    <t>2024 GDP (constant 2015 US$)</t>
    <phoneticPr fontId="1" type="noConversion"/>
  </si>
  <si>
    <t>2024 GDP per capita (constant 2015 US$)</t>
  </si>
  <si>
    <t>2024 GDP per capita (constant 2015 US$)</t>
    <phoneticPr fontId="1" type="noConversion"/>
  </si>
  <si>
    <t>联合国分类</t>
  </si>
  <si>
    <t>SWEDEN</t>
    <phoneticPr fontId="1" type="noConversion"/>
  </si>
  <si>
    <t>GDP</t>
  </si>
  <si>
    <t>GDP占比 
排序</t>
  </si>
  <si>
    <t>GDP占比累加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</si>
</sst>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/>
    <xf numFmtId="2" fontId="0" fillId="0" borderId="0" xfId="0" applyNumberFormat="1" applyAlignment="1">
      <alignment horizontal="center"/>
    </xf>
    <xf numFmtId="0" fontId="0" fillId="0" borderId="5" xfId="0" applyBorder="1"/>
    <xf numFmtId="0" fontId="0" fillId="5" borderId="0" xfId="0" applyFill="1"/>
    <xf numFmtId="0" fontId="0" fillId="0" borderId="1" xfId="0" applyBorder="1"/>
    <xf numFmtId="2" fontId="0" fillId="0" borderId="2" xfId="0" applyNumberFormat="1" applyBorder="1" applyAlignment="1">
      <alignment horizontal="center"/>
    </xf>
    <xf numFmtId="0" fontId="0" fillId="0" borderId="3" xfId="0" applyBorder="1"/>
    <xf numFmtId="0" fontId="2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9" fontId="0" fillId="0" borderId="0" xfId="1" applyFont="1" applyAlignment="1">
      <alignment horizontal="center"/>
    </xf>
    <xf numFmtId="176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5" borderId="0" xfId="0" applyFill="1" applyAlignment="1">
      <alignment horizontal="center" vertical="center" wrapText="1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5" fillId="0" borderId="0" xfId="0" applyNumberFormat="1" applyFont="1" applyAlignment="1">
      <alignment horizontal="center"/>
    </xf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755650</xdr:colOff>
      <xdr:row>124</xdr:row>
      <xdr:rowOff>142874</xdr:rowOff>
    </xdr:from>
    <xdr:to>
      <xdr:col>12</xdr:col>
      <xdr:colOff>257247</xdr:colOff>
      <xdr:row>142</xdr:row>
      <xdr:rowOff>123223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8895E72-7CE4-43D8-9E94-8CE4BA25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2050" y="22367874"/>
          <a:ext cx="3692597" cy="3180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4" sqref="C54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5000-5418-4B09-A405-4A6E5ACCA0D2}">
  <dimension ref="A1:D274"/>
  <sheetViews>
    <sheetView workbookViewId="0">
      <pane xSplit="2" ySplit="1" topLeftCell="C230" activePane="bottomRight" state="frozen"/>
      <selection pane="topRight" activeCell="C1" sqref="C1"/>
      <selection pane="bottomLeft" activeCell="A2" sqref="A2"/>
      <selection pane="bottomRight" activeCell="D267" sqref="C267:D267"/>
    </sheetView>
  </sheetViews>
  <sheetFormatPr defaultRowHeight="14" x14ac:dyDescent="0.3"/>
  <cols>
    <col min="3" max="4" width="13.83203125" customWidth="1"/>
  </cols>
  <sheetData>
    <row r="1" spans="1:4" s="1" customFormat="1" ht="46" customHeight="1" x14ac:dyDescent="0.3">
      <c r="A1" s="2" t="s">
        <v>174</v>
      </c>
      <c r="B1" s="29" t="s">
        <v>493</v>
      </c>
      <c r="C1" s="2" t="s">
        <v>762</v>
      </c>
      <c r="D1" s="2" t="s">
        <v>764</v>
      </c>
    </row>
    <row r="2" spans="1:4" x14ac:dyDescent="0.3">
      <c r="A2" s="27" t="s">
        <v>178</v>
      </c>
      <c r="B2" s="28" t="s">
        <v>494</v>
      </c>
      <c r="C2" s="27" t="s">
        <v>182</v>
      </c>
      <c r="D2" s="27" t="s">
        <v>182</v>
      </c>
    </row>
    <row r="3" spans="1:4" x14ac:dyDescent="0.3">
      <c r="A3" s="27" t="s">
        <v>179</v>
      </c>
      <c r="B3" s="28" t="s">
        <v>495</v>
      </c>
      <c r="C3" s="27">
        <v>15568367220.799885</v>
      </c>
      <c r="D3" s="27">
        <v>6549.2338741539725</v>
      </c>
    </row>
    <row r="4" spans="1:4" x14ac:dyDescent="0.3">
      <c r="A4" s="27" t="s">
        <v>180</v>
      </c>
      <c r="B4" s="28" t="s">
        <v>496</v>
      </c>
      <c r="C4" s="27">
        <v>223104305329.36099</v>
      </c>
      <c r="D4" s="27">
        <v>4765.7290016838651</v>
      </c>
    </row>
    <row r="5" spans="1:4" x14ac:dyDescent="0.3">
      <c r="A5" s="27" t="s">
        <v>181</v>
      </c>
      <c r="B5" s="28" t="s">
        <v>497</v>
      </c>
      <c r="C5" s="27" t="s">
        <v>182</v>
      </c>
      <c r="D5" s="27" t="s">
        <v>182</v>
      </c>
    </row>
    <row r="6" spans="1:4" x14ac:dyDescent="0.3">
      <c r="A6" s="27" t="s">
        <v>183</v>
      </c>
      <c r="B6" s="28" t="s">
        <v>498</v>
      </c>
      <c r="C6" s="27">
        <v>3362287046.4755573</v>
      </c>
      <c r="D6" s="27">
        <v>41034.526672307809</v>
      </c>
    </row>
    <row r="7" spans="1:4" x14ac:dyDescent="0.3">
      <c r="A7" s="27" t="s">
        <v>184</v>
      </c>
      <c r="B7" s="28" t="s">
        <v>499</v>
      </c>
      <c r="C7" s="27">
        <v>107803341999.57848</v>
      </c>
      <c r="D7" s="27">
        <v>2845.4777930297532</v>
      </c>
    </row>
    <row r="8" spans="1:4" x14ac:dyDescent="0.3">
      <c r="A8" s="27" t="s">
        <v>185</v>
      </c>
      <c r="B8" s="28" t="s">
        <v>500</v>
      </c>
      <c r="C8" s="27">
        <v>1720733551.2869399</v>
      </c>
      <c r="D8" s="27">
        <v>18350.185036972016</v>
      </c>
    </row>
    <row r="9" spans="1:4" x14ac:dyDescent="0.3">
      <c r="A9" s="27" t="s">
        <v>186</v>
      </c>
      <c r="B9" s="28" t="s">
        <v>501</v>
      </c>
      <c r="C9" s="27">
        <v>583738758865.70459</v>
      </c>
      <c r="D9" s="27">
        <v>12774.350659662765</v>
      </c>
    </row>
    <row r="10" spans="1:4" x14ac:dyDescent="0.3">
      <c r="A10" s="27" t="s">
        <v>187</v>
      </c>
      <c r="B10" s="28" t="s">
        <v>502</v>
      </c>
      <c r="C10" s="27">
        <v>16315127652.444309</v>
      </c>
      <c r="D10" s="27">
        <v>5378.3179998168152</v>
      </c>
    </row>
    <row r="11" spans="1:4" x14ac:dyDescent="0.3">
      <c r="A11" s="27" t="s">
        <v>188</v>
      </c>
      <c r="B11" s="28" t="s">
        <v>503</v>
      </c>
      <c r="C11" s="27">
        <v>3604216215.998373</v>
      </c>
      <c r="D11" s="27">
        <v>33373.917459126562</v>
      </c>
    </row>
    <row r="12" spans="1:4" x14ac:dyDescent="0.3">
      <c r="A12" s="27" t="s">
        <v>189</v>
      </c>
      <c r="B12" s="28" t="s">
        <v>504</v>
      </c>
      <c r="C12" s="27">
        <v>1672078242948.2178</v>
      </c>
      <c r="D12" s="27">
        <v>61480.670710530991</v>
      </c>
    </row>
    <row r="13" spans="1:4" x14ac:dyDescent="0.3">
      <c r="A13" s="27" t="s">
        <v>190</v>
      </c>
      <c r="B13" s="28" t="s">
        <v>505</v>
      </c>
      <c r="C13" s="27">
        <v>421809268656.55359</v>
      </c>
      <c r="D13" s="27">
        <v>45958.825007126143</v>
      </c>
    </row>
    <row r="14" spans="1:4" x14ac:dyDescent="0.3">
      <c r="A14" s="27" t="s">
        <v>191</v>
      </c>
      <c r="B14" s="28" t="s">
        <v>506</v>
      </c>
      <c r="C14" s="27">
        <v>59902281408.462158</v>
      </c>
      <c r="D14" s="27">
        <v>5871.143732519522</v>
      </c>
    </row>
    <row r="15" spans="1:4" x14ac:dyDescent="0.3">
      <c r="A15" s="27" t="s">
        <v>192</v>
      </c>
      <c r="B15" s="28" t="s">
        <v>507</v>
      </c>
      <c r="C15" s="27">
        <v>13630862492.246418</v>
      </c>
      <c r="D15" s="27">
        <v>33968.203218791772</v>
      </c>
    </row>
    <row r="16" spans="1:4" x14ac:dyDescent="0.3">
      <c r="A16" s="27" t="s">
        <v>193</v>
      </c>
      <c r="B16" s="28" t="s">
        <v>508</v>
      </c>
      <c r="C16" s="27">
        <v>41007465668.682808</v>
      </c>
      <c r="D16" s="27">
        <v>25812.45045773056</v>
      </c>
    </row>
    <row r="17" spans="1:4" x14ac:dyDescent="0.3">
      <c r="A17" s="27" t="s">
        <v>194</v>
      </c>
      <c r="B17" s="28" t="s">
        <v>509</v>
      </c>
      <c r="C17" s="27">
        <v>336932927922.21008</v>
      </c>
      <c r="D17" s="27">
        <v>1941.2787436002548</v>
      </c>
    </row>
    <row r="18" spans="1:4" x14ac:dyDescent="0.3">
      <c r="A18" s="27" t="s">
        <v>195</v>
      </c>
      <c r="B18" s="28" t="s">
        <v>510</v>
      </c>
      <c r="C18" s="27">
        <v>6095981657.8629799</v>
      </c>
      <c r="D18" s="27">
        <v>21581.217125763291</v>
      </c>
    </row>
    <row r="19" spans="1:4" x14ac:dyDescent="0.3">
      <c r="A19" s="27" t="s">
        <v>196</v>
      </c>
      <c r="B19" s="28" t="s">
        <v>511</v>
      </c>
      <c r="C19" s="27">
        <v>62030020167.739143</v>
      </c>
      <c r="D19" s="27">
        <v>6792.1318349556459</v>
      </c>
    </row>
    <row r="20" spans="1:4" x14ac:dyDescent="0.3">
      <c r="A20" s="27" t="s">
        <v>197</v>
      </c>
      <c r="B20" s="28" t="s">
        <v>512</v>
      </c>
      <c r="C20" s="27">
        <v>534178915343.83661</v>
      </c>
      <c r="D20" s="27">
        <v>45045.660102139846</v>
      </c>
    </row>
    <row r="21" spans="1:4" x14ac:dyDescent="0.3">
      <c r="A21" s="27" t="s">
        <v>199</v>
      </c>
      <c r="B21" s="28" t="s">
        <v>513</v>
      </c>
      <c r="C21" s="27">
        <v>2623588473.3599687</v>
      </c>
      <c r="D21" s="27">
        <v>6290.4929445274884</v>
      </c>
    </row>
    <row r="22" spans="1:4" x14ac:dyDescent="0.3">
      <c r="A22" s="27" t="s">
        <v>200</v>
      </c>
      <c r="B22" s="28" t="s">
        <v>514</v>
      </c>
      <c r="C22" s="27">
        <v>19159972710.824131</v>
      </c>
      <c r="D22" s="27">
        <v>1324.7831259743414</v>
      </c>
    </row>
    <row r="23" spans="1:4" x14ac:dyDescent="0.3">
      <c r="A23" s="27" t="s">
        <v>201</v>
      </c>
      <c r="B23" s="28" t="s">
        <v>515</v>
      </c>
      <c r="C23" s="27">
        <v>7893193425.4348612</v>
      </c>
      <c r="D23" s="27">
        <v>122117.60358677612</v>
      </c>
    </row>
    <row r="24" spans="1:4" x14ac:dyDescent="0.3">
      <c r="A24" s="27" t="s">
        <v>202</v>
      </c>
      <c r="B24" s="28" t="s">
        <v>516</v>
      </c>
      <c r="C24" s="27" t="s">
        <v>182</v>
      </c>
      <c r="D24" s="27" t="s">
        <v>182</v>
      </c>
    </row>
    <row r="25" spans="1:4" x14ac:dyDescent="0.3">
      <c r="A25" s="27" t="s">
        <v>203</v>
      </c>
      <c r="B25" s="28" t="s">
        <v>517</v>
      </c>
      <c r="C25" s="27">
        <v>37806175459.305305</v>
      </c>
      <c r="D25" s="27">
        <v>3045.6147660238466</v>
      </c>
    </row>
    <row r="26" spans="1:4" x14ac:dyDescent="0.3">
      <c r="A26" s="27" t="s">
        <v>204</v>
      </c>
      <c r="B26" s="28" t="s">
        <v>518</v>
      </c>
      <c r="C26" s="27">
        <v>21296271621.874783</v>
      </c>
      <c r="D26" s="27">
        <v>6730.2682882420531</v>
      </c>
    </row>
    <row r="27" spans="1:4" x14ac:dyDescent="0.3">
      <c r="A27" s="27" t="s">
        <v>207</v>
      </c>
      <c r="B27" s="28" t="s">
        <v>519</v>
      </c>
      <c r="C27" s="27">
        <v>17489977781.886208</v>
      </c>
      <c r="D27" s="27">
        <v>6937.3318099026701</v>
      </c>
    </row>
    <row r="28" spans="1:4" x14ac:dyDescent="0.3">
      <c r="A28" s="27" t="s">
        <v>209</v>
      </c>
      <c r="B28" s="28" t="s">
        <v>520</v>
      </c>
      <c r="C28" s="27">
        <v>2028136094548.3352</v>
      </c>
      <c r="D28" s="27">
        <v>9566.7440862837084</v>
      </c>
    </row>
    <row r="29" spans="1:4" x14ac:dyDescent="0.3">
      <c r="A29" s="27" t="s">
        <v>210</v>
      </c>
      <c r="B29" s="28" t="s">
        <v>521</v>
      </c>
      <c r="C29" s="27" t="s">
        <v>182</v>
      </c>
      <c r="D29" s="27" t="s">
        <v>182</v>
      </c>
    </row>
    <row r="30" spans="1:4" x14ac:dyDescent="0.3">
      <c r="A30" s="27" t="s">
        <v>211</v>
      </c>
      <c r="B30" s="28" t="s">
        <v>522</v>
      </c>
      <c r="C30" s="27">
        <v>13679822692.218899</v>
      </c>
      <c r="D30" s="27">
        <v>29563.868275308228</v>
      </c>
    </row>
    <row r="31" spans="1:4" x14ac:dyDescent="0.3">
      <c r="A31" s="27" t="s">
        <v>212</v>
      </c>
      <c r="B31" s="28" t="s">
        <v>523</v>
      </c>
      <c r="C31" s="27">
        <v>65231613490.824707</v>
      </c>
      <c r="D31" s="27">
        <v>10126.898007570799</v>
      </c>
    </row>
    <row r="32" spans="1:4" x14ac:dyDescent="0.3">
      <c r="A32" s="27" t="s">
        <v>213</v>
      </c>
      <c r="B32" s="28" t="s">
        <v>524</v>
      </c>
      <c r="C32" s="27">
        <v>17987353311.131538</v>
      </c>
      <c r="D32" s="27">
        <v>763.83373352240778</v>
      </c>
    </row>
    <row r="33" spans="1:4" x14ac:dyDescent="0.3">
      <c r="A33" s="27" t="s">
        <v>214</v>
      </c>
      <c r="B33" s="28" t="s">
        <v>525</v>
      </c>
      <c r="C33" s="27">
        <v>3774652142.6554604</v>
      </c>
      <c r="D33" s="27">
        <v>268.70085739172424</v>
      </c>
    </row>
    <row r="34" spans="1:4" x14ac:dyDescent="0.3">
      <c r="A34" s="27" t="s">
        <v>216</v>
      </c>
      <c r="B34" s="28" t="s">
        <v>526</v>
      </c>
      <c r="C34" s="27">
        <v>2335159974.8350101</v>
      </c>
      <c r="D34" s="27">
        <v>4448.9660907889083</v>
      </c>
    </row>
    <row r="35" spans="1:4" x14ac:dyDescent="0.3">
      <c r="A35" s="27" t="s">
        <v>217</v>
      </c>
      <c r="B35" s="28" t="s">
        <v>527</v>
      </c>
      <c r="C35" s="27">
        <v>38500536184.964561</v>
      </c>
      <c r="D35" s="27">
        <v>2182.7184390234097</v>
      </c>
    </row>
    <row r="36" spans="1:4" x14ac:dyDescent="0.3">
      <c r="A36" s="27" t="s">
        <v>218</v>
      </c>
      <c r="B36" s="28" t="s">
        <v>528</v>
      </c>
      <c r="C36" s="27">
        <v>43124429828.964264</v>
      </c>
      <c r="D36" s="27">
        <v>1480.7309743199316</v>
      </c>
    </row>
    <row r="37" spans="1:4" x14ac:dyDescent="0.3">
      <c r="A37" s="27" t="s">
        <v>220</v>
      </c>
      <c r="B37" s="28" t="s">
        <v>529</v>
      </c>
      <c r="C37" s="27">
        <v>1833766996134.793</v>
      </c>
      <c r="D37" s="27">
        <v>44413.398384740372</v>
      </c>
    </row>
    <row r="38" spans="1:4" x14ac:dyDescent="0.3">
      <c r="A38" s="27" t="s">
        <v>221</v>
      </c>
      <c r="B38" s="28" t="s">
        <v>530</v>
      </c>
      <c r="C38" s="27" t="s">
        <v>182</v>
      </c>
      <c r="D38" s="27" t="s">
        <v>182</v>
      </c>
    </row>
    <row r="39" spans="1:4" x14ac:dyDescent="0.3">
      <c r="A39" s="27" t="s">
        <v>222</v>
      </c>
      <c r="B39" s="28" t="s">
        <v>531</v>
      </c>
      <c r="C39" s="27">
        <v>2078640238.8818378</v>
      </c>
      <c r="D39" s="27">
        <v>389.93830796422935</v>
      </c>
    </row>
    <row r="40" spans="1:4" x14ac:dyDescent="0.3">
      <c r="A40" s="27" t="s">
        <v>223</v>
      </c>
      <c r="B40" s="28" t="s">
        <v>532</v>
      </c>
      <c r="C40" s="27">
        <v>17248313422.992172</v>
      </c>
      <c r="D40" s="27">
        <v>849.70732100062514</v>
      </c>
    </row>
    <row r="41" spans="1:4" x14ac:dyDescent="0.3">
      <c r="A41" s="27" t="s">
        <v>225</v>
      </c>
      <c r="B41" s="28" t="s">
        <v>533</v>
      </c>
      <c r="C41" s="27" t="s">
        <v>182</v>
      </c>
      <c r="D41" s="27" t="s">
        <v>182</v>
      </c>
    </row>
    <row r="42" spans="1:4" x14ac:dyDescent="0.3">
      <c r="A42" s="27" t="s">
        <v>226</v>
      </c>
      <c r="B42" s="28" t="s">
        <v>534</v>
      </c>
      <c r="C42" s="27">
        <v>288158504434.81396</v>
      </c>
      <c r="D42" s="27">
        <v>14579.40010713071</v>
      </c>
    </row>
    <row r="43" spans="1:4" x14ac:dyDescent="0.3">
      <c r="A43" s="27" t="s">
        <v>227</v>
      </c>
      <c r="B43" s="28" t="s">
        <v>535</v>
      </c>
      <c r="C43" s="27">
        <v>18488114837769.328</v>
      </c>
      <c r="D43" s="27">
        <v>13121.676990556489</v>
      </c>
    </row>
    <row r="44" spans="1:4" x14ac:dyDescent="0.3">
      <c r="A44" s="27" t="s">
        <v>228</v>
      </c>
      <c r="B44" s="28" t="s">
        <v>536</v>
      </c>
      <c r="C44" s="27">
        <v>362990610076.17419</v>
      </c>
      <c r="D44" s="27">
        <v>6863.5956319434217</v>
      </c>
    </row>
    <row r="45" spans="1:4" x14ac:dyDescent="0.3">
      <c r="A45" s="27" t="s">
        <v>229</v>
      </c>
      <c r="B45" s="28" t="s">
        <v>537</v>
      </c>
      <c r="C45" s="27">
        <v>1214916246.5260735</v>
      </c>
      <c r="D45" s="27">
        <v>1401.8889841155299</v>
      </c>
    </row>
    <row r="46" spans="1:4" x14ac:dyDescent="0.3">
      <c r="A46" s="27" t="s">
        <v>231</v>
      </c>
      <c r="B46" s="28" t="s">
        <v>538</v>
      </c>
      <c r="C46" s="27">
        <v>60565728422.472641</v>
      </c>
      <c r="D46" s="27">
        <v>554.24412998076605</v>
      </c>
    </row>
    <row r="47" spans="1:4" x14ac:dyDescent="0.3">
      <c r="A47" s="27" t="s">
        <v>232</v>
      </c>
      <c r="B47" s="28" t="s">
        <v>539</v>
      </c>
      <c r="C47" s="27">
        <v>10636718505.673967</v>
      </c>
      <c r="D47" s="27">
        <v>1679.5806109770717</v>
      </c>
    </row>
    <row r="48" spans="1:4" x14ac:dyDescent="0.3">
      <c r="A48" s="27" t="s">
        <v>233</v>
      </c>
      <c r="B48" s="28" t="s">
        <v>540</v>
      </c>
      <c r="C48" s="27">
        <v>76264229553.430679</v>
      </c>
      <c r="D48" s="27">
        <v>14866.58236761087</v>
      </c>
    </row>
    <row r="49" spans="1:4" x14ac:dyDescent="0.3">
      <c r="A49" s="27" t="s">
        <v>234</v>
      </c>
      <c r="B49" s="28" t="s">
        <v>541</v>
      </c>
      <c r="C49" s="27">
        <v>76504096839.437027</v>
      </c>
      <c r="D49" s="27">
        <v>2395.676890892219</v>
      </c>
    </row>
    <row r="50" spans="1:4" x14ac:dyDescent="0.3">
      <c r="A50" s="27" t="s">
        <v>235</v>
      </c>
      <c r="B50" s="28" t="s">
        <v>542</v>
      </c>
      <c r="C50" s="27">
        <v>69027943227.324402</v>
      </c>
      <c r="D50" s="27">
        <v>17854.209101268534</v>
      </c>
    </row>
    <row r="51" spans="1:4" x14ac:dyDescent="0.3">
      <c r="A51" s="27" t="s">
        <v>236</v>
      </c>
      <c r="B51" s="28" t="s">
        <v>543</v>
      </c>
      <c r="C51" s="27">
        <v>81046145427.256119</v>
      </c>
      <c r="D51" s="27">
        <v>7381.3977404886891</v>
      </c>
    </row>
    <row r="52" spans="1:4" x14ac:dyDescent="0.3">
      <c r="A52" s="27" t="s">
        <v>237</v>
      </c>
      <c r="B52" s="28" t="s">
        <v>544</v>
      </c>
      <c r="C52" s="27">
        <v>2814389451.5229545</v>
      </c>
      <c r="D52" s="27">
        <v>18044.775186564813</v>
      </c>
    </row>
    <row r="53" spans="1:4" x14ac:dyDescent="0.3">
      <c r="A53" s="27" t="s">
        <v>238</v>
      </c>
      <c r="B53" s="28" t="s">
        <v>545</v>
      </c>
      <c r="C53" s="27">
        <v>31740302544.146255</v>
      </c>
      <c r="D53" s="27">
        <v>32617.216796875</v>
      </c>
    </row>
    <row r="54" spans="1:4" x14ac:dyDescent="0.3">
      <c r="A54" s="27" t="s">
        <v>240</v>
      </c>
      <c r="B54" s="28" t="s">
        <v>546</v>
      </c>
      <c r="C54" s="27">
        <v>222958017484.65396</v>
      </c>
      <c r="D54" s="27">
        <v>20445.432830126982</v>
      </c>
    </row>
    <row r="55" spans="1:4" x14ac:dyDescent="0.3">
      <c r="A55" s="27" t="s">
        <v>241</v>
      </c>
      <c r="B55" s="28" t="s">
        <v>547</v>
      </c>
      <c r="C55" s="27">
        <v>363238912546.89032</v>
      </c>
      <c r="D55" s="27">
        <v>60772.862427604108</v>
      </c>
    </row>
    <row r="56" spans="1:4" x14ac:dyDescent="0.3">
      <c r="A56" s="27" t="s">
        <v>242</v>
      </c>
      <c r="B56" s="28" t="s">
        <v>548</v>
      </c>
      <c r="C56" s="27">
        <v>3845591877.0947642</v>
      </c>
      <c r="D56" s="27">
        <v>3290.4248205259801</v>
      </c>
    </row>
    <row r="57" spans="1:4" x14ac:dyDescent="0.3">
      <c r="A57" s="27" t="s">
        <v>243</v>
      </c>
      <c r="B57" s="28" t="s">
        <v>549</v>
      </c>
      <c r="C57" s="27">
        <v>607279298.40409529</v>
      </c>
      <c r="D57" s="27">
        <v>9172.7104962479461</v>
      </c>
    </row>
    <row r="58" spans="1:4" x14ac:dyDescent="0.3">
      <c r="A58" s="27" t="s">
        <v>244</v>
      </c>
      <c r="B58" s="28" t="s">
        <v>550</v>
      </c>
      <c r="C58" s="27">
        <v>104773032846.35954</v>
      </c>
      <c r="D58" s="27">
        <v>9168.4541889714092</v>
      </c>
    </row>
    <row r="59" spans="1:4" x14ac:dyDescent="0.3">
      <c r="A59" s="27" t="s">
        <v>245</v>
      </c>
      <c r="B59" s="28" t="s">
        <v>551</v>
      </c>
      <c r="C59" s="27">
        <v>108801876280.21585</v>
      </c>
      <c r="D59" s="27">
        <v>5999.3939106659254</v>
      </c>
    </row>
    <row r="60" spans="1:4" x14ac:dyDescent="0.3">
      <c r="A60" s="27" t="s">
        <v>246</v>
      </c>
      <c r="B60" s="28" t="s">
        <v>552</v>
      </c>
      <c r="C60" s="27">
        <v>482189779212.63232</v>
      </c>
      <c r="D60" s="27">
        <v>4137.6092923289816</v>
      </c>
    </row>
    <row r="61" spans="1:4" x14ac:dyDescent="0.3">
      <c r="A61" s="27" t="s">
        <v>248</v>
      </c>
      <c r="B61" s="28" t="s">
        <v>553</v>
      </c>
      <c r="C61" s="27">
        <v>29062047321.266548</v>
      </c>
      <c r="D61" s="27">
        <v>4585.2259975779452</v>
      </c>
    </row>
    <row r="62" spans="1:4" x14ac:dyDescent="0.3">
      <c r="A62" s="27" t="s">
        <v>249</v>
      </c>
      <c r="B62" s="28" t="s">
        <v>554</v>
      </c>
      <c r="C62" s="27">
        <v>9541952850.6271133</v>
      </c>
      <c r="D62" s="27">
        <v>5041.940385511728</v>
      </c>
    </row>
    <row r="63" spans="1:4" x14ac:dyDescent="0.3">
      <c r="A63" s="27" t="s">
        <v>250</v>
      </c>
      <c r="B63" s="28" t="s">
        <v>555</v>
      </c>
      <c r="C63" s="27" t="s">
        <v>182</v>
      </c>
      <c r="D63" s="27" t="s">
        <v>182</v>
      </c>
    </row>
    <row r="64" spans="1:4" x14ac:dyDescent="0.3">
      <c r="A64" s="27" t="s">
        <v>251</v>
      </c>
      <c r="B64" s="28" t="s">
        <v>556</v>
      </c>
      <c r="C64" s="27">
        <v>27554054399.259132</v>
      </c>
      <c r="D64" s="27">
        <v>20078.139762099312</v>
      </c>
    </row>
    <row r="65" spans="1:4" x14ac:dyDescent="0.3">
      <c r="A65" s="27" t="s">
        <v>252</v>
      </c>
      <c r="B65" s="28" t="s">
        <v>557</v>
      </c>
      <c r="C65" s="27">
        <v>4802519614.2698231</v>
      </c>
      <c r="D65" s="27">
        <v>3864.205505108393</v>
      </c>
    </row>
    <row r="66" spans="1:4" x14ac:dyDescent="0.3">
      <c r="A66" s="27" t="s">
        <v>253</v>
      </c>
      <c r="B66" s="28" t="s">
        <v>558</v>
      </c>
      <c r="C66" s="27">
        <v>116669335367.21245</v>
      </c>
      <c r="D66" s="27">
        <v>883.45858861929116</v>
      </c>
    </row>
    <row r="67" spans="1:4" x14ac:dyDescent="0.3">
      <c r="A67" s="27" t="s">
        <v>254</v>
      </c>
      <c r="B67" s="28" t="s">
        <v>559</v>
      </c>
      <c r="C67" s="27">
        <v>3240267282.4561214</v>
      </c>
      <c r="D67" s="27">
        <v>59257.644930709415</v>
      </c>
    </row>
    <row r="68" spans="1:4" x14ac:dyDescent="0.3">
      <c r="A68" s="27" t="s">
        <v>255</v>
      </c>
      <c r="B68" s="28" t="s">
        <v>560</v>
      </c>
      <c r="C68" s="27">
        <v>5512527123.4012527</v>
      </c>
      <c r="D68" s="27">
        <v>5935.2089650567332</v>
      </c>
    </row>
    <row r="69" spans="1:4" x14ac:dyDescent="0.3">
      <c r="A69" s="27" t="s">
        <v>256</v>
      </c>
      <c r="B69" s="28" t="s">
        <v>561</v>
      </c>
      <c r="C69" s="27">
        <v>254323653957.11951</v>
      </c>
      <c r="D69" s="27">
        <v>45254.035865891739</v>
      </c>
    </row>
    <row r="70" spans="1:4" x14ac:dyDescent="0.3">
      <c r="A70" s="27" t="s">
        <v>257</v>
      </c>
      <c r="B70" s="28" t="s">
        <v>562</v>
      </c>
      <c r="C70" s="27">
        <v>2720362347819.8081</v>
      </c>
      <c r="D70" s="27">
        <v>39683.395348902937</v>
      </c>
    </row>
    <row r="71" spans="1:4" x14ac:dyDescent="0.3">
      <c r="A71" s="27" t="s">
        <v>258</v>
      </c>
      <c r="B71" s="28" t="s">
        <v>563</v>
      </c>
      <c r="C71" s="27">
        <v>5874732292.7703991</v>
      </c>
      <c r="D71" s="27">
        <v>20846.651405999139</v>
      </c>
    </row>
    <row r="72" spans="1:4" x14ac:dyDescent="0.3">
      <c r="A72" s="27" t="s">
        <v>260</v>
      </c>
      <c r="B72" s="28" t="s">
        <v>564</v>
      </c>
      <c r="C72" s="27">
        <v>16805289922.765602</v>
      </c>
      <c r="D72" s="27">
        <v>6618.9868586588491</v>
      </c>
    </row>
    <row r="73" spans="1:4" x14ac:dyDescent="0.3">
      <c r="A73" s="27" t="s">
        <v>261</v>
      </c>
      <c r="B73" s="28" t="s">
        <v>565</v>
      </c>
      <c r="C73" s="27">
        <v>2094736745.3015413</v>
      </c>
      <c r="D73" s="27">
        <v>758.96588872906023</v>
      </c>
    </row>
    <row r="74" spans="1:4" x14ac:dyDescent="0.3">
      <c r="A74" s="27" t="s">
        <v>262</v>
      </c>
      <c r="B74" s="28" t="s">
        <v>566</v>
      </c>
      <c r="C74" s="27">
        <v>25186857750.188026</v>
      </c>
      <c r="D74" s="27">
        <v>6808.0739802598055</v>
      </c>
    </row>
    <row r="75" spans="1:4" x14ac:dyDescent="0.3">
      <c r="A75" s="27" t="s">
        <v>263</v>
      </c>
      <c r="B75" s="28" t="s">
        <v>567</v>
      </c>
      <c r="C75" s="27">
        <v>3677048776153.856</v>
      </c>
      <c r="D75" s="27">
        <v>44027.763155446919</v>
      </c>
    </row>
    <row r="76" spans="1:4" x14ac:dyDescent="0.3">
      <c r="A76" s="27" t="s">
        <v>264</v>
      </c>
      <c r="B76" s="28" t="s">
        <v>568</v>
      </c>
      <c r="C76" s="27">
        <v>74629231909.51947</v>
      </c>
      <c r="D76" s="27">
        <v>2167.7269140667804</v>
      </c>
    </row>
    <row r="77" spans="1:4" x14ac:dyDescent="0.3">
      <c r="A77" s="27" t="s">
        <v>265</v>
      </c>
      <c r="B77" s="28" t="s">
        <v>569</v>
      </c>
      <c r="C77" s="27" t="s">
        <v>182</v>
      </c>
      <c r="D77" s="27" t="s">
        <v>182</v>
      </c>
    </row>
    <row r="78" spans="1:4" x14ac:dyDescent="0.3">
      <c r="A78" s="27" t="s">
        <v>266</v>
      </c>
      <c r="B78" s="28" t="s">
        <v>570</v>
      </c>
      <c r="C78" s="27">
        <v>223655084018.92416</v>
      </c>
      <c r="D78" s="27">
        <v>21494.685606059869</v>
      </c>
    </row>
    <row r="79" spans="1:4" x14ac:dyDescent="0.3">
      <c r="A79" s="27" t="s">
        <v>267</v>
      </c>
      <c r="B79" s="28" t="s">
        <v>571</v>
      </c>
      <c r="C79" s="27" t="s">
        <v>182</v>
      </c>
      <c r="D79" s="27" t="s">
        <v>182</v>
      </c>
    </row>
    <row r="80" spans="1:4" x14ac:dyDescent="0.3">
      <c r="A80" s="27" t="s">
        <v>268</v>
      </c>
      <c r="B80" s="28" t="s">
        <v>572</v>
      </c>
      <c r="C80" s="27">
        <v>1195043156.5398319</v>
      </c>
      <c r="D80" s="27">
        <v>10196.004987243356</v>
      </c>
    </row>
    <row r="81" spans="1:4" x14ac:dyDescent="0.3">
      <c r="A81" s="27" t="s">
        <v>269</v>
      </c>
      <c r="B81" s="28" t="s">
        <v>573</v>
      </c>
      <c r="C81" s="27" t="s">
        <v>182</v>
      </c>
      <c r="D81" s="27" t="s">
        <v>182</v>
      </c>
    </row>
    <row r="82" spans="1:4" x14ac:dyDescent="0.3">
      <c r="A82" s="27" t="s">
        <v>270</v>
      </c>
      <c r="B82" s="28" t="s">
        <v>574</v>
      </c>
      <c r="C82" s="27">
        <v>83989981406.969528</v>
      </c>
      <c r="D82" s="27">
        <v>4563.09590652717</v>
      </c>
    </row>
    <row r="83" spans="1:4" x14ac:dyDescent="0.3">
      <c r="A83" s="27" t="s">
        <v>271</v>
      </c>
      <c r="B83" s="28" t="s">
        <v>575</v>
      </c>
      <c r="C83" s="27">
        <v>15432355339.810682</v>
      </c>
      <c r="D83" s="27">
        <v>1045.9220747581671</v>
      </c>
    </row>
    <row r="84" spans="1:4" x14ac:dyDescent="0.3">
      <c r="A84" s="27" t="s">
        <v>273</v>
      </c>
      <c r="B84" s="28" t="s">
        <v>576</v>
      </c>
      <c r="C84" s="27">
        <v>1747195818.6794879</v>
      </c>
      <c r="D84" s="27">
        <v>793.69215767377864</v>
      </c>
    </row>
    <row r="85" spans="1:4" x14ac:dyDescent="0.3">
      <c r="A85" s="27" t="s">
        <v>275</v>
      </c>
      <c r="B85" s="28" t="s">
        <v>577</v>
      </c>
      <c r="C85" s="27">
        <v>27454923839.268162</v>
      </c>
      <c r="D85" s="27">
        <v>33034.957638933301</v>
      </c>
    </row>
    <row r="86" spans="1:4" x14ac:dyDescent="0.3">
      <c r="A86" s="27" t="s">
        <v>276</v>
      </c>
      <c r="B86" s="28" t="s">
        <v>578</v>
      </c>
      <c r="C86" s="27">
        <v>13595808327.378111</v>
      </c>
      <c r="D86" s="27">
        <v>1154.8730090988822</v>
      </c>
    </row>
    <row r="87" spans="1:4" x14ac:dyDescent="0.3">
      <c r="A87" s="27" t="s">
        <v>277</v>
      </c>
      <c r="B87" s="28" t="s">
        <v>579</v>
      </c>
      <c r="C87" s="27">
        <v>27858556649.763664</v>
      </c>
      <c r="D87" s="27">
        <v>2573.3715999564797</v>
      </c>
    </row>
    <row r="88" spans="1:4" x14ac:dyDescent="0.3">
      <c r="A88" s="27" t="s">
        <v>278</v>
      </c>
      <c r="B88" s="28" t="s">
        <v>580</v>
      </c>
      <c r="C88" s="27">
        <v>336423318692.03735</v>
      </c>
      <c r="D88" s="27">
        <v>44712.765472553176</v>
      </c>
    </row>
    <row r="89" spans="1:4" x14ac:dyDescent="0.3">
      <c r="A89" s="27" t="s">
        <v>279</v>
      </c>
      <c r="B89" s="28" t="s">
        <v>581</v>
      </c>
      <c r="C89" s="27">
        <v>157952280644.58694</v>
      </c>
      <c r="D89" s="27">
        <v>16518.636993639651</v>
      </c>
    </row>
    <row r="90" spans="1:4" x14ac:dyDescent="0.3">
      <c r="A90" s="27" t="s">
        <v>280</v>
      </c>
      <c r="B90" s="28" t="s">
        <v>582</v>
      </c>
      <c r="C90" s="27">
        <v>22922580053.479584</v>
      </c>
      <c r="D90" s="27">
        <v>59307.177775971351</v>
      </c>
    </row>
    <row r="91" spans="1:4" x14ac:dyDescent="0.3">
      <c r="A91" s="27" t="s">
        <v>281</v>
      </c>
      <c r="B91" s="28" t="s">
        <v>583</v>
      </c>
      <c r="C91" s="27">
        <v>3477820532826.479</v>
      </c>
      <c r="D91" s="27">
        <v>2396.9499921354404</v>
      </c>
    </row>
    <row r="92" spans="1:4" x14ac:dyDescent="0.3">
      <c r="A92" s="27" t="s">
        <v>282</v>
      </c>
      <c r="B92" s="28" t="s">
        <v>584</v>
      </c>
      <c r="C92" s="27">
        <v>1238236350136.5586</v>
      </c>
      <c r="D92" s="27">
        <v>4367.8626662119123</v>
      </c>
    </row>
    <row r="93" spans="1:4" x14ac:dyDescent="0.3">
      <c r="A93" s="27" t="s">
        <v>284</v>
      </c>
      <c r="B93" s="28" t="s">
        <v>585</v>
      </c>
      <c r="C93" s="27">
        <v>534246745197.83569</v>
      </c>
      <c r="D93" s="27">
        <v>5834.4429693986294</v>
      </c>
    </row>
    <row r="94" spans="1:4" x14ac:dyDescent="0.3">
      <c r="A94" s="27" t="s">
        <v>285</v>
      </c>
      <c r="B94" s="28" t="s">
        <v>586</v>
      </c>
      <c r="C94" s="27">
        <v>192469260104.18936</v>
      </c>
      <c r="D94" s="27">
        <v>4180.2961947731728</v>
      </c>
    </row>
    <row r="95" spans="1:4" x14ac:dyDescent="0.3">
      <c r="A95" s="27" t="s">
        <v>288</v>
      </c>
      <c r="B95" s="28" t="s">
        <v>587</v>
      </c>
      <c r="C95" s="27">
        <v>509767195342.46063</v>
      </c>
      <c r="D95" s="27">
        <v>94474.987970706905</v>
      </c>
    </row>
    <row r="96" spans="1:4" x14ac:dyDescent="0.3">
      <c r="A96" s="27" t="s">
        <v>289</v>
      </c>
      <c r="B96" s="28" t="s">
        <v>588</v>
      </c>
      <c r="C96" s="27" t="s">
        <v>182</v>
      </c>
      <c r="D96" s="27" t="s">
        <v>182</v>
      </c>
    </row>
    <row r="97" spans="1:4" x14ac:dyDescent="0.3">
      <c r="A97" s="27" t="s">
        <v>290</v>
      </c>
      <c r="B97" s="28" t="s">
        <v>589</v>
      </c>
      <c r="C97" s="27">
        <v>417380424316.46967</v>
      </c>
      <c r="D97" s="27">
        <v>41845.166056752256</v>
      </c>
    </row>
    <row r="98" spans="1:4" x14ac:dyDescent="0.3">
      <c r="A98" s="27" t="s">
        <v>291</v>
      </c>
      <c r="B98" s="28" t="s">
        <v>590</v>
      </c>
      <c r="C98" s="27">
        <v>2033588532657.241</v>
      </c>
      <c r="D98" s="27">
        <v>34495.254579963643</v>
      </c>
    </row>
    <row r="99" spans="1:4" x14ac:dyDescent="0.3">
      <c r="A99" s="27" t="s">
        <v>292</v>
      </c>
      <c r="B99" s="28" t="s">
        <v>591</v>
      </c>
      <c r="C99" s="27">
        <v>17308839319.81345</v>
      </c>
      <c r="D99" s="27">
        <v>6096.4327030963041</v>
      </c>
    </row>
    <row r="100" spans="1:4" x14ac:dyDescent="0.3">
      <c r="A100" s="27" t="s">
        <v>294</v>
      </c>
      <c r="B100" s="28" t="s">
        <v>592</v>
      </c>
      <c r="C100" s="27">
        <v>4606002855955.1328</v>
      </c>
      <c r="D100" s="27">
        <v>37152.563600355206</v>
      </c>
    </row>
    <row r="101" spans="1:4" x14ac:dyDescent="0.3">
      <c r="A101" s="27" t="s">
        <v>295</v>
      </c>
      <c r="B101" s="28" t="s">
        <v>593</v>
      </c>
      <c r="C101" s="27">
        <v>46405988481.472862</v>
      </c>
      <c r="D101" s="27">
        <v>4016.834291432961</v>
      </c>
    </row>
    <row r="102" spans="1:4" x14ac:dyDescent="0.3">
      <c r="A102" s="27" t="s">
        <v>296</v>
      </c>
      <c r="B102" s="28" t="s">
        <v>594</v>
      </c>
      <c r="C102" s="27">
        <v>244491152895.88773</v>
      </c>
      <c r="D102" s="27">
        <v>11872.784262629844</v>
      </c>
    </row>
    <row r="103" spans="1:4" x14ac:dyDescent="0.3">
      <c r="A103" s="27" t="s">
        <v>297</v>
      </c>
      <c r="B103" s="28" t="s">
        <v>595</v>
      </c>
      <c r="C103" s="27">
        <v>104966566488.39067</v>
      </c>
      <c r="D103" s="27">
        <v>1860.0228704777599</v>
      </c>
    </row>
    <row r="104" spans="1:4" x14ac:dyDescent="0.3">
      <c r="A104" s="27" t="s">
        <v>298</v>
      </c>
      <c r="B104" s="28" t="s">
        <v>596</v>
      </c>
      <c r="C104" s="27">
        <v>274669078.17177755</v>
      </c>
      <c r="D104" s="27">
        <v>2041.8760178695607</v>
      </c>
    </row>
    <row r="105" spans="1:4" x14ac:dyDescent="0.3">
      <c r="A105" s="27" t="s">
        <v>299</v>
      </c>
      <c r="B105" s="28" t="s">
        <v>597</v>
      </c>
      <c r="C105" s="27" t="s">
        <v>182</v>
      </c>
      <c r="D105" s="27" t="s">
        <v>182</v>
      </c>
    </row>
    <row r="106" spans="1:4" x14ac:dyDescent="0.3">
      <c r="A106" s="27" t="s">
        <v>300</v>
      </c>
      <c r="B106" s="28" t="s">
        <v>598</v>
      </c>
      <c r="C106" s="27">
        <v>1917295522781.8574</v>
      </c>
      <c r="D106" s="27">
        <v>37048.42640014959</v>
      </c>
    </row>
    <row r="107" spans="1:4" x14ac:dyDescent="0.3">
      <c r="A107" s="27" t="s">
        <v>301</v>
      </c>
      <c r="B107" s="28" t="s">
        <v>599</v>
      </c>
      <c r="C107" s="27">
        <v>8978889464.6992207</v>
      </c>
      <c r="D107" s="27">
        <v>5631.6822339213595</v>
      </c>
    </row>
    <row r="108" spans="1:4" x14ac:dyDescent="0.3">
      <c r="A108" s="27" t="s">
        <v>302</v>
      </c>
      <c r="B108" s="28" t="s">
        <v>600</v>
      </c>
      <c r="C108" s="27">
        <v>116887023610.31404</v>
      </c>
      <c r="D108" s="27">
        <v>23867.82650029497</v>
      </c>
    </row>
    <row r="109" spans="1:4" x14ac:dyDescent="0.3">
      <c r="A109" s="27" t="s">
        <v>303</v>
      </c>
      <c r="B109" s="28" t="s">
        <v>601</v>
      </c>
      <c r="C109" s="27">
        <v>10050558458.413731</v>
      </c>
      <c r="D109" s="27">
        <v>1391.6840432992863</v>
      </c>
    </row>
    <row r="110" spans="1:4" x14ac:dyDescent="0.3">
      <c r="A110" s="27" t="s">
        <v>304</v>
      </c>
      <c r="B110" s="28" t="s">
        <v>602</v>
      </c>
      <c r="C110" s="27">
        <v>21142284373.384182</v>
      </c>
      <c r="D110" s="27">
        <v>2721.0781066308214</v>
      </c>
    </row>
    <row r="111" spans="1:4" x14ac:dyDescent="0.3">
      <c r="A111" s="27" t="s">
        <v>305</v>
      </c>
      <c r="B111" s="28" t="s">
        <v>603</v>
      </c>
      <c r="C111" s="27">
        <v>30557357896.857292</v>
      </c>
      <c r="D111" s="27">
        <v>16374.773539623997</v>
      </c>
    </row>
    <row r="112" spans="1:4" x14ac:dyDescent="0.3">
      <c r="A112" s="27" t="s">
        <v>306</v>
      </c>
      <c r="B112" s="28" t="s">
        <v>604</v>
      </c>
      <c r="C112" s="27" t="s">
        <v>182</v>
      </c>
      <c r="D112" s="27" t="s">
        <v>182</v>
      </c>
    </row>
    <row r="113" spans="1:4" x14ac:dyDescent="0.3">
      <c r="A113" s="27" t="s">
        <v>307</v>
      </c>
      <c r="B113" s="28" t="s">
        <v>605</v>
      </c>
      <c r="C113" s="27">
        <v>2316549022.352397</v>
      </c>
      <c r="D113" s="27">
        <v>991.069661910744</v>
      </c>
    </row>
    <row r="114" spans="1:4" x14ac:dyDescent="0.3">
      <c r="A114" s="27" t="s">
        <v>308</v>
      </c>
      <c r="B114" s="28" t="s">
        <v>606</v>
      </c>
      <c r="C114" s="27">
        <v>3733092094.5398049</v>
      </c>
      <c r="D114" s="27">
        <v>665.10133762419207</v>
      </c>
    </row>
    <row r="115" spans="1:4" x14ac:dyDescent="0.3">
      <c r="A115" s="27" t="s">
        <v>309</v>
      </c>
      <c r="B115" s="28" t="s">
        <v>607</v>
      </c>
      <c r="C115" s="27">
        <v>56804949261.297356</v>
      </c>
      <c r="D115" s="27">
        <v>7696.0807819319025</v>
      </c>
    </row>
    <row r="116" spans="1:4" x14ac:dyDescent="0.3">
      <c r="A116" s="27" t="s">
        <v>310</v>
      </c>
      <c r="B116" s="28" t="s">
        <v>608</v>
      </c>
      <c r="C116" s="27" t="s">
        <v>182</v>
      </c>
      <c r="D116" s="27" t="s">
        <v>182</v>
      </c>
    </row>
    <row r="117" spans="1:4" x14ac:dyDescent="0.3">
      <c r="A117" s="27" t="s">
        <v>311</v>
      </c>
      <c r="B117" s="28" t="s">
        <v>609</v>
      </c>
      <c r="C117" s="27">
        <v>55144866855.247284</v>
      </c>
      <c r="D117" s="27">
        <v>19092.645117695487</v>
      </c>
    </row>
    <row r="118" spans="1:4" x14ac:dyDescent="0.3">
      <c r="A118" s="27" t="s">
        <v>312</v>
      </c>
      <c r="B118" s="28" t="s">
        <v>610</v>
      </c>
      <c r="C118" s="27">
        <v>70508886559.21376</v>
      </c>
      <c r="D118" s="27">
        <v>104147.17399280037</v>
      </c>
    </row>
    <row r="119" spans="1:4" x14ac:dyDescent="0.3">
      <c r="A119" s="27" t="s">
        <v>313</v>
      </c>
      <c r="B119" s="28" t="s">
        <v>611</v>
      </c>
      <c r="C119" s="27">
        <v>43540200437.276978</v>
      </c>
      <c r="D119" s="27">
        <v>63377.293212921366</v>
      </c>
    </row>
    <row r="120" spans="1:4" x14ac:dyDescent="0.3">
      <c r="A120" s="27" t="s">
        <v>314</v>
      </c>
      <c r="B120" s="28" t="s">
        <v>612</v>
      </c>
      <c r="C120" s="27">
        <v>14492369787.952595</v>
      </c>
      <c r="D120" s="27">
        <v>453.38306700477222</v>
      </c>
    </row>
    <row r="121" spans="1:4" x14ac:dyDescent="0.3">
      <c r="A121" s="27" t="s">
        <v>315</v>
      </c>
      <c r="B121" s="28" t="s">
        <v>613</v>
      </c>
      <c r="C121" s="27">
        <v>11952668098.89068</v>
      </c>
      <c r="D121" s="27">
        <v>551.95152347055955</v>
      </c>
    </row>
    <row r="122" spans="1:4" x14ac:dyDescent="0.3">
      <c r="A122" s="27" t="s">
        <v>316</v>
      </c>
      <c r="B122" s="28" t="s">
        <v>614</v>
      </c>
      <c r="C122" s="27">
        <v>422559964245.24005</v>
      </c>
      <c r="D122" s="27">
        <v>11883.791277489954</v>
      </c>
    </row>
    <row r="123" spans="1:4" x14ac:dyDescent="0.3">
      <c r="A123" s="27" t="s">
        <v>317</v>
      </c>
      <c r="B123" s="28" t="s">
        <v>615</v>
      </c>
      <c r="C123" s="27">
        <v>6227390285.8439083</v>
      </c>
      <c r="D123" s="27">
        <v>11798.791369146036</v>
      </c>
    </row>
    <row r="124" spans="1:4" x14ac:dyDescent="0.3">
      <c r="A124" s="27" t="s">
        <v>318</v>
      </c>
      <c r="B124" s="28" t="s">
        <v>616</v>
      </c>
      <c r="C124" s="27">
        <v>22269531976.235027</v>
      </c>
      <c r="D124" s="27">
        <v>909.75531791081255</v>
      </c>
    </row>
    <row r="125" spans="1:4" x14ac:dyDescent="0.3">
      <c r="A125" s="27" t="s">
        <v>319</v>
      </c>
      <c r="B125" s="28" t="s">
        <v>617</v>
      </c>
      <c r="C125" s="27">
        <v>19721971907.751312</v>
      </c>
      <c r="D125" s="27">
        <v>34670.081599711892</v>
      </c>
    </row>
    <row r="126" spans="1:4" x14ac:dyDescent="0.3">
      <c r="A126" s="27" t="s">
        <v>320</v>
      </c>
      <c r="B126" s="28" t="s">
        <v>618</v>
      </c>
      <c r="C126" s="27">
        <v>218192687.98828095</v>
      </c>
      <c r="D126" s="27">
        <v>5811.0335567348711</v>
      </c>
    </row>
    <row r="127" spans="1:4" x14ac:dyDescent="0.3">
      <c r="A127" s="27" t="s">
        <v>321</v>
      </c>
      <c r="B127" s="28" t="s">
        <v>619</v>
      </c>
      <c r="C127" s="27">
        <v>8729112418.5200901</v>
      </c>
      <c r="D127" s="27">
        <v>1688.6139322919007</v>
      </c>
    </row>
    <row r="128" spans="1:4" x14ac:dyDescent="0.3">
      <c r="A128" s="27" t="s">
        <v>323</v>
      </c>
      <c r="B128" s="28" t="s">
        <v>620</v>
      </c>
      <c r="C128" s="27">
        <v>14868086969.435331</v>
      </c>
      <c r="D128" s="27">
        <v>11934.770909957007</v>
      </c>
    </row>
    <row r="129" spans="1:4" x14ac:dyDescent="0.3">
      <c r="A129" s="27" t="s">
        <v>324</v>
      </c>
      <c r="B129" s="28" t="s">
        <v>621</v>
      </c>
      <c r="C129" s="27">
        <v>1350022500028.8057</v>
      </c>
      <c r="D129" s="27">
        <v>10316.461190221513</v>
      </c>
    </row>
    <row r="130" spans="1:4" x14ac:dyDescent="0.3">
      <c r="A130" s="27" t="s">
        <v>325</v>
      </c>
      <c r="B130" s="28" t="s">
        <v>622</v>
      </c>
      <c r="C130" s="27">
        <v>331590401.69028789</v>
      </c>
      <c r="D130" s="27">
        <v>2930.2792655557432</v>
      </c>
    </row>
    <row r="131" spans="1:4" x14ac:dyDescent="0.3">
      <c r="A131" s="27" t="s">
        <v>326</v>
      </c>
      <c r="B131" s="28" t="s">
        <v>623</v>
      </c>
      <c r="C131" s="27">
        <v>9252510447.170393</v>
      </c>
      <c r="D131" s="27">
        <v>3851.5120251834664</v>
      </c>
    </row>
    <row r="132" spans="1:4" x14ac:dyDescent="0.3">
      <c r="A132" s="27" t="s">
        <v>327</v>
      </c>
      <c r="B132" s="28" t="s">
        <v>624</v>
      </c>
      <c r="C132" s="27">
        <v>9548432765.3685741</v>
      </c>
      <c r="D132" s="27">
        <v>247170.21991065657</v>
      </c>
    </row>
    <row r="133" spans="1:4" x14ac:dyDescent="0.3">
      <c r="A133" s="27" t="s">
        <v>328</v>
      </c>
      <c r="B133" s="28" t="s">
        <v>625</v>
      </c>
      <c r="C133" s="27">
        <v>16308475359.187122</v>
      </c>
      <c r="D133" s="27">
        <v>4626.796096442431</v>
      </c>
    </row>
    <row r="134" spans="1:4" x14ac:dyDescent="0.3">
      <c r="A134" s="27" t="s">
        <v>329</v>
      </c>
      <c r="B134" s="28" t="s">
        <v>626</v>
      </c>
      <c r="C134" s="27">
        <v>5324908668.4805889</v>
      </c>
      <c r="D134" s="27">
        <v>8540.0082891312923</v>
      </c>
    </row>
    <row r="135" spans="1:4" x14ac:dyDescent="0.3">
      <c r="A135" s="27" t="s">
        <v>330</v>
      </c>
      <c r="B135" s="28" t="s">
        <v>627</v>
      </c>
      <c r="C135" s="27">
        <v>135975581947.96526</v>
      </c>
      <c r="D135" s="27">
        <v>3516.15405273438</v>
      </c>
    </row>
    <row r="136" spans="1:4" x14ac:dyDescent="0.3">
      <c r="A136" s="27" t="s">
        <v>331</v>
      </c>
      <c r="B136" s="28" t="s">
        <v>628</v>
      </c>
      <c r="C136" s="27">
        <v>20973160980.921219</v>
      </c>
      <c r="D136" s="27">
        <v>605.60472084851858</v>
      </c>
    </row>
    <row r="137" spans="1:4" x14ac:dyDescent="0.3">
      <c r="A137" s="27" t="s">
        <v>332</v>
      </c>
      <c r="B137" s="28" t="s">
        <v>629</v>
      </c>
      <c r="C137" s="27">
        <v>63137226235.741531</v>
      </c>
      <c r="D137" s="27">
        <v>1158.4792809931553</v>
      </c>
    </row>
    <row r="138" spans="1:4" x14ac:dyDescent="0.3">
      <c r="A138" s="27" t="s">
        <v>334</v>
      </c>
      <c r="B138" s="28" t="s">
        <v>630</v>
      </c>
      <c r="C138" s="27">
        <v>12224610619.857546</v>
      </c>
      <c r="D138" s="27">
        <v>4034.3505346328411</v>
      </c>
    </row>
    <row r="139" spans="1:4" x14ac:dyDescent="0.3">
      <c r="A139" s="27" t="s">
        <v>335</v>
      </c>
      <c r="B139" s="28" t="s">
        <v>631</v>
      </c>
      <c r="C139" s="27">
        <v>102397209.2951172</v>
      </c>
      <c r="D139" s="27">
        <v>8570.9558295067545</v>
      </c>
    </row>
    <row r="140" spans="1:4" x14ac:dyDescent="0.3">
      <c r="A140" s="27" t="s">
        <v>337</v>
      </c>
      <c r="B140" s="28" t="s">
        <v>632</v>
      </c>
      <c r="C140" s="27">
        <v>34982690898.441475</v>
      </c>
      <c r="D140" s="27">
        <v>1179.8127276838616</v>
      </c>
    </row>
    <row r="141" spans="1:4" x14ac:dyDescent="0.3">
      <c r="A141" s="27" t="s">
        <v>338</v>
      </c>
      <c r="B141" s="28" t="s">
        <v>633</v>
      </c>
      <c r="C141" s="27">
        <v>920880034447.74963</v>
      </c>
      <c r="D141" s="27">
        <v>51178.525696814686</v>
      </c>
    </row>
    <row r="142" spans="1:4" x14ac:dyDescent="0.3">
      <c r="A142" s="27" t="s">
        <v>339</v>
      </c>
      <c r="B142" s="28" t="s">
        <v>634</v>
      </c>
      <c r="C142" s="27" t="s">
        <v>182</v>
      </c>
      <c r="D142" s="27" t="s">
        <v>182</v>
      </c>
    </row>
    <row r="143" spans="1:4" x14ac:dyDescent="0.3">
      <c r="A143" s="27" t="s">
        <v>340</v>
      </c>
      <c r="B143" s="28" t="s">
        <v>635</v>
      </c>
      <c r="C143" s="27">
        <v>224233557754.35229</v>
      </c>
      <c r="D143" s="27">
        <v>42408.237873163554</v>
      </c>
    </row>
    <row r="144" spans="1:4" x14ac:dyDescent="0.3">
      <c r="A144" s="27" t="s">
        <v>342</v>
      </c>
      <c r="B144" s="28" t="s">
        <v>636</v>
      </c>
      <c r="C144" s="27">
        <v>15841222424.942118</v>
      </c>
      <c r="D144" s="27">
        <v>2290.4716250599495</v>
      </c>
    </row>
    <row r="145" spans="1:4" x14ac:dyDescent="0.3">
      <c r="A145" s="27" t="s">
        <v>343</v>
      </c>
      <c r="B145" s="28" t="s">
        <v>637</v>
      </c>
      <c r="C145" s="27">
        <v>16088387161.446194</v>
      </c>
      <c r="D145" s="27">
        <v>595.15174455931617</v>
      </c>
    </row>
    <row r="146" spans="1:4" x14ac:dyDescent="0.3">
      <c r="A146" s="27" t="s">
        <v>344</v>
      </c>
      <c r="B146" s="28" t="s">
        <v>638</v>
      </c>
      <c r="C146" s="27">
        <v>540898072115.8811</v>
      </c>
      <c r="D146" s="27">
        <v>2324.6488120275098</v>
      </c>
    </row>
    <row r="147" spans="1:4" x14ac:dyDescent="0.3">
      <c r="A147" s="27" t="s">
        <v>346</v>
      </c>
      <c r="B147" s="28" t="s">
        <v>639</v>
      </c>
      <c r="C147" s="27">
        <v>12093396439.500017</v>
      </c>
      <c r="D147" s="27">
        <v>6628.8468659403206</v>
      </c>
    </row>
    <row r="148" spans="1:4" x14ac:dyDescent="0.3">
      <c r="A148" s="27" t="s">
        <v>347</v>
      </c>
      <c r="B148" s="28" t="s">
        <v>640</v>
      </c>
      <c r="C148" s="27" t="s">
        <v>182</v>
      </c>
      <c r="D148" s="27" t="s">
        <v>182</v>
      </c>
    </row>
    <row r="149" spans="1:4" x14ac:dyDescent="0.3">
      <c r="A149" s="27" t="s">
        <v>348</v>
      </c>
      <c r="B149" s="28" t="s">
        <v>641</v>
      </c>
      <c r="C149" s="27">
        <v>443929688973.89081</v>
      </c>
      <c r="D149" s="27">
        <v>79667.527231477608</v>
      </c>
    </row>
    <row r="150" spans="1:4" x14ac:dyDescent="0.3">
      <c r="A150" s="27" t="s">
        <v>349</v>
      </c>
      <c r="B150" s="28" t="s">
        <v>642</v>
      </c>
      <c r="C150" s="27">
        <v>91620377320.782944</v>
      </c>
      <c r="D150" s="27">
        <v>17347.291133905113</v>
      </c>
    </row>
    <row r="151" spans="1:4" x14ac:dyDescent="0.3">
      <c r="A151" s="27" t="s">
        <v>350</v>
      </c>
      <c r="B151" s="28" t="s">
        <v>643</v>
      </c>
      <c r="C151" s="27">
        <v>410716372191.50397</v>
      </c>
      <c r="D151" s="27">
        <v>1634.5673526079943</v>
      </c>
    </row>
    <row r="152" spans="1:4" x14ac:dyDescent="0.3">
      <c r="A152" s="27" t="s">
        <v>351</v>
      </c>
      <c r="B152" s="28" t="s">
        <v>644</v>
      </c>
      <c r="C152" s="27" t="s">
        <v>182</v>
      </c>
      <c r="D152" s="27" t="s">
        <v>182</v>
      </c>
    </row>
    <row r="153" spans="1:4" x14ac:dyDescent="0.3">
      <c r="A153" s="27" t="s">
        <v>352</v>
      </c>
      <c r="B153" s="28" t="s">
        <v>645</v>
      </c>
      <c r="C153" s="27">
        <v>77318963569.703064</v>
      </c>
      <c r="D153" s="27">
        <v>17122.720655566955</v>
      </c>
    </row>
    <row r="154" spans="1:4" x14ac:dyDescent="0.3">
      <c r="A154" s="27" t="s">
        <v>353</v>
      </c>
      <c r="B154" s="28" t="s">
        <v>646</v>
      </c>
      <c r="C154" s="27">
        <v>27125951106.419441</v>
      </c>
      <c r="D154" s="27">
        <v>2564.7374818649341</v>
      </c>
    </row>
    <row r="155" spans="1:4" x14ac:dyDescent="0.3">
      <c r="A155" s="27" t="s">
        <v>354</v>
      </c>
      <c r="B155" s="28" t="s">
        <v>647</v>
      </c>
      <c r="C155" s="27">
        <v>46015383701.362282</v>
      </c>
      <c r="D155" s="27">
        <v>6640.8381661311678</v>
      </c>
    </row>
    <row r="156" spans="1:4" x14ac:dyDescent="0.3">
      <c r="A156" s="27" t="s">
        <v>356</v>
      </c>
      <c r="B156" s="28" t="s">
        <v>648</v>
      </c>
      <c r="C156" s="27">
        <v>229642617310.30029</v>
      </c>
      <c r="D156" s="27">
        <v>6711.1940327252696</v>
      </c>
    </row>
    <row r="157" spans="1:4" x14ac:dyDescent="0.3">
      <c r="A157" s="27" t="s">
        <v>357</v>
      </c>
      <c r="B157" s="28" t="s">
        <v>649</v>
      </c>
      <c r="C157" s="27">
        <v>454721721977.44543</v>
      </c>
      <c r="D157" s="27">
        <v>3925.3048697218019</v>
      </c>
    </row>
    <row r="158" spans="1:4" x14ac:dyDescent="0.3">
      <c r="A158" s="27" t="s">
        <v>358</v>
      </c>
      <c r="B158" s="28" t="s">
        <v>650</v>
      </c>
      <c r="C158" s="27">
        <v>658084600079.5863</v>
      </c>
      <c r="D158" s="27">
        <v>18000.50345912854</v>
      </c>
    </row>
    <row r="159" spans="1:4" x14ac:dyDescent="0.3">
      <c r="A159" s="27" t="s">
        <v>359</v>
      </c>
      <c r="B159" s="28" t="s">
        <v>651</v>
      </c>
      <c r="C159" s="27">
        <v>242206495918.36029</v>
      </c>
      <c r="D159" s="27">
        <v>22647.379189557902</v>
      </c>
    </row>
    <row r="160" spans="1:4" x14ac:dyDescent="0.3">
      <c r="A160" s="27" t="s">
        <v>360</v>
      </c>
      <c r="B160" s="28" t="s">
        <v>652</v>
      </c>
      <c r="C160" s="27">
        <v>99210088884.532272</v>
      </c>
      <c r="D160" s="27">
        <v>30971.262055019059</v>
      </c>
    </row>
    <row r="161" spans="1:4" x14ac:dyDescent="0.3">
      <c r="A161" s="27" t="s">
        <v>361</v>
      </c>
      <c r="B161" s="28" t="s">
        <v>653</v>
      </c>
      <c r="C161" s="27">
        <v>177634714249.32825</v>
      </c>
      <c r="D161" s="27">
        <v>62157.375179184797</v>
      </c>
    </row>
    <row r="162" spans="1:4" x14ac:dyDescent="0.3">
      <c r="A162" s="27" t="s">
        <v>362</v>
      </c>
      <c r="B162" s="28" t="s">
        <v>654</v>
      </c>
      <c r="C162" s="27">
        <v>237383786157.71899</v>
      </c>
      <c r="D162" s="27">
        <v>12459.911206189136</v>
      </c>
    </row>
    <row r="163" spans="1:4" x14ac:dyDescent="0.3">
      <c r="A163" s="27" t="s">
        <v>363</v>
      </c>
      <c r="B163" s="28" t="s">
        <v>655</v>
      </c>
      <c r="C163" s="27">
        <v>1612344875264.3628</v>
      </c>
      <c r="D163" s="27">
        <v>11043.259765625</v>
      </c>
    </row>
    <row r="164" spans="1:4" x14ac:dyDescent="0.3">
      <c r="A164" s="27" t="s">
        <v>364</v>
      </c>
      <c r="B164" s="28" t="s">
        <v>656</v>
      </c>
      <c r="C164" s="27">
        <v>15260942682.754557</v>
      </c>
      <c r="D164" s="27">
        <v>1070.4500377092575</v>
      </c>
    </row>
    <row r="165" spans="1:4" x14ac:dyDescent="0.3">
      <c r="A165" s="27" t="s">
        <v>366</v>
      </c>
      <c r="B165" s="28" t="s">
        <v>657</v>
      </c>
      <c r="C165" s="27">
        <v>1064051361.649308</v>
      </c>
      <c r="D165" s="27">
        <v>4880.5441803205595</v>
      </c>
    </row>
    <row r="166" spans="1:4" x14ac:dyDescent="0.3">
      <c r="A166" s="27" t="s">
        <v>367</v>
      </c>
      <c r="B166" s="28" t="s">
        <v>658</v>
      </c>
      <c r="C166" s="27" t="s">
        <v>182</v>
      </c>
      <c r="D166" s="27" t="s">
        <v>182</v>
      </c>
    </row>
    <row r="167" spans="1:4" x14ac:dyDescent="0.3">
      <c r="A167" s="27" t="s">
        <v>369</v>
      </c>
      <c r="B167" s="28" t="s">
        <v>659</v>
      </c>
      <c r="C167" s="27">
        <v>322247041.65483534</v>
      </c>
      <c r="D167" s="27">
        <v>1368.1434755401949</v>
      </c>
    </row>
    <row r="168" spans="1:4" x14ac:dyDescent="0.3">
      <c r="A168" s="27" t="s">
        <v>371</v>
      </c>
      <c r="B168" s="28" t="s">
        <v>660</v>
      </c>
      <c r="C168" s="27">
        <v>881212616884.02368</v>
      </c>
      <c r="D168" s="27">
        <v>24963.332213909456</v>
      </c>
    </row>
    <row r="169" spans="1:4" x14ac:dyDescent="0.3">
      <c r="A169" s="27" t="s">
        <v>373</v>
      </c>
      <c r="B169" s="28" t="s">
        <v>661</v>
      </c>
      <c r="C169" s="27">
        <v>27973016519.321728</v>
      </c>
      <c r="D169" s="27">
        <v>1511.8928067023369</v>
      </c>
    </row>
    <row r="170" spans="1:4" x14ac:dyDescent="0.3">
      <c r="A170" s="27" t="s">
        <v>374</v>
      </c>
      <c r="B170" s="28" t="s">
        <v>662</v>
      </c>
      <c r="C170" s="27">
        <v>56513683533.783546</v>
      </c>
      <c r="D170" s="27">
        <v>8580.2610582325888</v>
      </c>
    </row>
    <row r="171" spans="1:4" x14ac:dyDescent="0.3">
      <c r="A171" s="27" t="s">
        <v>375</v>
      </c>
      <c r="B171" s="28" t="s">
        <v>663</v>
      </c>
      <c r="C171" s="27">
        <v>2012826895.3276012</v>
      </c>
      <c r="D171" s="27">
        <v>16586.407496478081</v>
      </c>
    </row>
    <row r="172" spans="1:4" x14ac:dyDescent="0.3">
      <c r="A172" s="27" t="s">
        <v>376</v>
      </c>
      <c r="B172" s="28" t="s">
        <v>664</v>
      </c>
      <c r="C172" s="27">
        <v>9828485690.6466026</v>
      </c>
      <c r="D172" s="27">
        <v>1137.2900567305433</v>
      </c>
    </row>
    <row r="173" spans="1:4" x14ac:dyDescent="0.3">
      <c r="A173" s="27" t="s">
        <v>377</v>
      </c>
      <c r="B173" s="28" t="s">
        <v>665</v>
      </c>
      <c r="C173" s="27">
        <v>408736675576.89142</v>
      </c>
      <c r="D173" s="27">
        <v>67706.833614973919</v>
      </c>
    </row>
    <row r="174" spans="1:4" x14ac:dyDescent="0.3">
      <c r="A174" s="27" t="s">
        <v>378</v>
      </c>
      <c r="B174" s="28" t="s">
        <v>666</v>
      </c>
      <c r="C174" s="27">
        <v>1510321841.8713908</v>
      </c>
      <c r="D174" s="27">
        <v>34840.18089668722</v>
      </c>
    </row>
    <row r="175" spans="1:4" x14ac:dyDescent="0.3">
      <c r="A175" s="27" t="s">
        <v>379</v>
      </c>
      <c r="B175" s="28" t="s">
        <v>667</v>
      </c>
      <c r="C175" s="27">
        <v>107227789781.41272</v>
      </c>
      <c r="D175" s="27">
        <v>19776.175806949843</v>
      </c>
    </row>
    <row r="176" spans="1:4" x14ac:dyDescent="0.3">
      <c r="A176" s="27" t="s">
        <v>380</v>
      </c>
      <c r="B176" s="28" t="s">
        <v>668</v>
      </c>
      <c r="C176" s="27">
        <v>55598805913.761932</v>
      </c>
      <c r="D176" s="27">
        <v>26134.627203986995</v>
      </c>
    </row>
    <row r="177" spans="1:4" x14ac:dyDescent="0.3">
      <c r="A177" s="27" t="s">
        <v>381</v>
      </c>
      <c r="B177" s="28" t="s">
        <v>669</v>
      </c>
      <c r="C177" s="27">
        <v>1479785892.3540337</v>
      </c>
      <c r="D177" s="27">
        <v>1806.3836732438724</v>
      </c>
    </row>
    <row r="178" spans="1:4" x14ac:dyDescent="0.3">
      <c r="A178" s="27" t="s">
        <v>382</v>
      </c>
      <c r="B178" s="28" t="s">
        <v>670</v>
      </c>
      <c r="C178" s="27">
        <v>8882404280.6420708</v>
      </c>
      <c r="D178" s="27">
        <v>467.26991019441482</v>
      </c>
    </row>
    <row r="179" spans="1:4" x14ac:dyDescent="0.3">
      <c r="A179" s="27" t="s">
        <v>383</v>
      </c>
      <c r="B179" s="28" t="s">
        <v>671</v>
      </c>
      <c r="C179" s="27">
        <v>365831497261.34131</v>
      </c>
      <c r="D179" s="27">
        <v>5715.4753146914782</v>
      </c>
    </row>
    <row r="180" spans="1:4" x14ac:dyDescent="0.3">
      <c r="A180" s="27" t="s">
        <v>384</v>
      </c>
      <c r="B180" s="28" t="s">
        <v>672</v>
      </c>
      <c r="C180" s="27" t="s">
        <v>182</v>
      </c>
      <c r="D180" s="27" t="s">
        <v>182</v>
      </c>
    </row>
    <row r="181" spans="1:4" x14ac:dyDescent="0.3">
      <c r="A181" s="27" t="s">
        <v>385</v>
      </c>
      <c r="B181" s="28" t="s">
        <v>673</v>
      </c>
      <c r="C181" s="27">
        <v>1428595035672.3743</v>
      </c>
      <c r="D181" s="27">
        <v>29245.21924517295</v>
      </c>
    </row>
    <row r="182" spans="1:4" x14ac:dyDescent="0.3">
      <c r="A182" s="27" t="s">
        <v>386</v>
      </c>
      <c r="B182" s="28" t="s">
        <v>674</v>
      </c>
      <c r="C182" s="27">
        <v>91751304716.640808</v>
      </c>
      <c r="D182" s="27">
        <v>4186.4986638365035</v>
      </c>
    </row>
    <row r="183" spans="1:4" x14ac:dyDescent="0.3">
      <c r="A183" s="27" t="s">
        <v>387</v>
      </c>
      <c r="B183" s="28" t="s">
        <v>675</v>
      </c>
      <c r="C183" s="27">
        <v>1016129628.2661316</v>
      </c>
      <c r="D183" s="27">
        <v>21692.240639287229</v>
      </c>
    </row>
    <row r="184" spans="1:4" x14ac:dyDescent="0.3">
      <c r="A184" s="27" t="s">
        <v>388</v>
      </c>
      <c r="B184" s="28" t="s">
        <v>676</v>
      </c>
      <c r="C184" s="27">
        <v>2130856442.5570943</v>
      </c>
      <c r="D184" s="27">
        <v>11854.951723323695</v>
      </c>
    </row>
    <row r="185" spans="1:4" x14ac:dyDescent="0.3">
      <c r="A185" s="27" t="s">
        <v>389</v>
      </c>
      <c r="B185" s="28" t="s">
        <v>677</v>
      </c>
      <c r="C185" s="27" t="s">
        <v>182</v>
      </c>
      <c r="D185" s="27" t="s">
        <v>182</v>
      </c>
    </row>
    <row r="186" spans="1:4" x14ac:dyDescent="0.3">
      <c r="A186" s="27" t="s">
        <v>390</v>
      </c>
      <c r="B186" s="28" t="s">
        <v>678</v>
      </c>
      <c r="C186" s="27">
        <v>954361646.83228838</v>
      </c>
      <c r="D186" s="27">
        <v>9485.1877120168592</v>
      </c>
    </row>
    <row r="187" spans="1:4" x14ac:dyDescent="0.3">
      <c r="A187" s="27" t="s">
        <v>391</v>
      </c>
      <c r="B187" s="28" t="s">
        <v>679</v>
      </c>
      <c r="C187" s="27">
        <v>29179132473.630383</v>
      </c>
      <c r="D187" s="27">
        <v>578.38916015625</v>
      </c>
    </row>
    <row r="188" spans="1:4" x14ac:dyDescent="0.3">
      <c r="A188" s="27" t="s">
        <v>392</v>
      </c>
      <c r="B188" s="28" t="s">
        <v>680</v>
      </c>
      <c r="C188" s="27">
        <v>4597250505.9212961</v>
      </c>
      <c r="D188" s="27">
        <v>7246.2576795921004</v>
      </c>
    </row>
    <row r="189" spans="1:4" x14ac:dyDescent="0.3">
      <c r="A189" s="27" t="s">
        <v>393</v>
      </c>
      <c r="B189" s="28" t="s">
        <v>681</v>
      </c>
      <c r="C189" s="27">
        <v>572983369203.27405</v>
      </c>
      <c r="D189" s="27">
        <v>54209.947426487714</v>
      </c>
    </row>
    <row r="190" spans="1:4" x14ac:dyDescent="0.3">
      <c r="A190" s="27" t="s">
        <v>394</v>
      </c>
      <c r="B190" s="28" t="s">
        <v>682</v>
      </c>
      <c r="C190" s="27">
        <v>811109937475.13135</v>
      </c>
      <c r="D190" s="27">
        <v>90067.464543116846</v>
      </c>
    </row>
    <row r="191" spans="1:4" x14ac:dyDescent="0.3">
      <c r="A191" s="27" t="s">
        <v>395</v>
      </c>
      <c r="B191" s="28" t="s">
        <v>683</v>
      </c>
      <c r="C191" s="27" t="s">
        <v>182</v>
      </c>
      <c r="D191" s="27" t="s">
        <v>182</v>
      </c>
    </row>
    <row r="192" spans="1:4" x14ac:dyDescent="0.3">
      <c r="A192" s="27" t="s">
        <v>396</v>
      </c>
      <c r="B192" s="28" t="s">
        <v>684</v>
      </c>
      <c r="C192" s="27">
        <v>15847607943.984638</v>
      </c>
      <c r="D192" s="27">
        <v>1496.3381339503744</v>
      </c>
    </row>
    <row r="193" spans="1:4" x14ac:dyDescent="0.3">
      <c r="A193" s="27" t="s">
        <v>397</v>
      </c>
      <c r="B193" s="28" t="s">
        <v>685</v>
      </c>
      <c r="C193" s="27">
        <v>74463225268.464447</v>
      </c>
      <c r="D193" s="27">
        <v>1120.77416992188</v>
      </c>
    </row>
    <row r="194" spans="1:4" x14ac:dyDescent="0.3">
      <c r="A194" s="27" t="s">
        <v>398</v>
      </c>
      <c r="B194" s="28" t="s">
        <v>686</v>
      </c>
      <c r="C194" s="27">
        <v>471178549995.25305</v>
      </c>
      <c r="D194" s="27">
        <v>6574.4610938798487</v>
      </c>
    </row>
    <row r="195" spans="1:4" x14ac:dyDescent="0.3">
      <c r="A195" s="27" t="s">
        <v>399</v>
      </c>
      <c r="B195" s="28" t="s">
        <v>687</v>
      </c>
      <c r="C195" s="27">
        <v>1609639637.8194954</v>
      </c>
      <c r="D195" s="27">
        <v>1149.21888298011</v>
      </c>
    </row>
    <row r="196" spans="1:4" x14ac:dyDescent="0.3">
      <c r="A196" s="27" t="s">
        <v>400</v>
      </c>
      <c r="B196" s="28" t="s">
        <v>688</v>
      </c>
      <c r="C196" s="27">
        <v>8858969845.088459</v>
      </c>
      <c r="D196" s="27">
        <v>931.02996552985746</v>
      </c>
    </row>
    <row r="197" spans="1:4" x14ac:dyDescent="0.3">
      <c r="A197" s="27" t="s">
        <v>401</v>
      </c>
      <c r="B197" s="28" t="s">
        <v>689</v>
      </c>
      <c r="C197" s="27" t="s">
        <v>182</v>
      </c>
      <c r="D197" s="27" t="s">
        <v>182</v>
      </c>
    </row>
    <row r="198" spans="1:4" x14ac:dyDescent="0.3">
      <c r="A198" s="27" t="s">
        <v>402</v>
      </c>
      <c r="B198" s="28" t="s">
        <v>690</v>
      </c>
      <c r="C198" s="27">
        <v>22320911476.712124</v>
      </c>
      <c r="D198" s="27">
        <v>16312.484955571577</v>
      </c>
    </row>
    <row r="199" spans="1:4" x14ac:dyDescent="0.3">
      <c r="A199" s="27" t="s">
        <v>403</v>
      </c>
      <c r="B199" s="28" t="s">
        <v>691</v>
      </c>
      <c r="C199" s="27">
        <v>49184626298.035133</v>
      </c>
      <c r="D199" s="27">
        <v>4006.2058826744255</v>
      </c>
    </row>
    <row r="200" spans="1:4" x14ac:dyDescent="0.3">
      <c r="A200" s="27" t="s">
        <v>404</v>
      </c>
      <c r="B200" s="28" t="s">
        <v>692</v>
      </c>
      <c r="C200" s="27">
        <v>1316562171166.7805</v>
      </c>
      <c r="D200" s="27">
        <v>15395.027889489296</v>
      </c>
    </row>
    <row r="201" spans="1:4" x14ac:dyDescent="0.3">
      <c r="A201" s="27" t="s">
        <v>405</v>
      </c>
      <c r="B201" s="28" t="s">
        <v>693</v>
      </c>
      <c r="C201" s="27">
        <v>61690926131.84903</v>
      </c>
      <c r="D201" s="27">
        <v>8231.4954426365894</v>
      </c>
    </row>
    <row r="202" spans="1:4" x14ac:dyDescent="0.3">
      <c r="A202" s="27" t="s">
        <v>406</v>
      </c>
      <c r="B202" s="28" t="s">
        <v>694</v>
      </c>
      <c r="C202" s="27">
        <v>2660838540.2329965</v>
      </c>
      <c r="D202" s="27">
        <v>57179.296018759997</v>
      </c>
    </row>
    <row r="203" spans="1:4" x14ac:dyDescent="0.3">
      <c r="A203" s="27" t="s">
        <v>407</v>
      </c>
      <c r="B203" s="28" t="s">
        <v>695</v>
      </c>
      <c r="C203" s="27" t="s">
        <v>182</v>
      </c>
      <c r="D203" s="27" t="s">
        <v>182</v>
      </c>
    </row>
    <row r="204" spans="1:4" x14ac:dyDescent="0.3">
      <c r="A204" s="27" t="s">
        <v>408</v>
      </c>
      <c r="B204" s="28" t="s">
        <v>696</v>
      </c>
      <c r="C204" s="27">
        <v>49319389340.670036</v>
      </c>
      <c r="D204" s="27">
        <v>986.09014536392408</v>
      </c>
    </row>
    <row r="205" spans="1:4" x14ac:dyDescent="0.3">
      <c r="A205" s="27" t="s">
        <v>409</v>
      </c>
      <c r="B205" s="28" t="s">
        <v>697</v>
      </c>
      <c r="C205" s="27">
        <v>78535131747.32251</v>
      </c>
      <c r="D205" s="27">
        <v>2219.04248046875</v>
      </c>
    </row>
    <row r="206" spans="1:4" x14ac:dyDescent="0.3">
      <c r="A206" s="27" t="s">
        <v>410</v>
      </c>
      <c r="B206" s="28" t="s">
        <v>698</v>
      </c>
      <c r="C206" s="27">
        <v>457093751868.53564</v>
      </c>
      <c r="D206" s="27">
        <v>41605.416867084365</v>
      </c>
    </row>
    <row r="207" spans="1:4" x14ac:dyDescent="0.3">
      <c r="A207" s="27" t="s">
        <v>411</v>
      </c>
      <c r="B207" s="28" t="s">
        <v>699</v>
      </c>
      <c r="C207" s="27">
        <v>3320141995547.6167</v>
      </c>
      <c r="D207" s="27">
        <v>47960.910576194154</v>
      </c>
    </row>
    <row r="208" spans="1:4" x14ac:dyDescent="0.3">
      <c r="A208" s="27" t="s">
        <v>412</v>
      </c>
      <c r="B208" s="28" t="s">
        <v>700</v>
      </c>
      <c r="C208" s="27">
        <v>22568462768174.316</v>
      </c>
      <c r="D208" s="27">
        <v>66356.170675010115</v>
      </c>
    </row>
    <row r="209" spans="1:4" x14ac:dyDescent="0.3">
      <c r="A209" s="27" t="s">
        <v>413</v>
      </c>
      <c r="B209" s="28" t="s">
        <v>701</v>
      </c>
      <c r="C209" s="27">
        <v>64204978531.949135</v>
      </c>
      <c r="D209" s="27">
        <v>18958.603329353653</v>
      </c>
    </row>
    <row r="210" spans="1:4" x14ac:dyDescent="0.3">
      <c r="A210" s="27" t="s">
        <v>414</v>
      </c>
      <c r="B210" s="28" t="s">
        <v>702</v>
      </c>
      <c r="C210" s="27">
        <v>141462755525.29086</v>
      </c>
      <c r="D210" s="27">
        <v>3890.4159307501541</v>
      </c>
    </row>
    <row r="211" spans="1:4" x14ac:dyDescent="0.3">
      <c r="A211" s="27" t="s">
        <v>415</v>
      </c>
      <c r="B211" s="28" t="s">
        <v>703</v>
      </c>
      <c r="C211" s="27">
        <v>884044669.59621119</v>
      </c>
      <c r="D211" s="27">
        <v>2697.0918325453317</v>
      </c>
    </row>
    <row r="212" spans="1:4" x14ac:dyDescent="0.3">
      <c r="A212" s="27" t="s">
        <v>416</v>
      </c>
      <c r="B212" s="28" t="s">
        <v>704</v>
      </c>
      <c r="C212" s="27">
        <v>42637366965.006409</v>
      </c>
      <c r="D212" s="27">
        <v>1501.0227744988508</v>
      </c>
    </row>
    <row r="213" spans="1:4" x14ac:dyDescent="0.3">
      <c r="A213" s="27" t="s">
        <v>417</v>
      </c>
      <c r="B213" s="28" t="s">
        <v>705</v>
      </c>
      <c r="C213" s="27">
        <v>405742875627.91882</v>
      </c>
      <c r="D213" s="27">
        <v>4017.7460411155357</v>
      </c>
    </row>
    <row r="214" spans="1:4" x14ac:dyDescent="0.3">
      <c r="A214" s="27" t="s">
        <v>418</v>
      </c>
      <c r="B214" s="28" t="s">
        <v>706</v>
      </c>
      <c r="C214" s="27" t="s">
        <v>182</v>
      </c>
      <c r="D214" s="27" t="s">
        <v>182</v>
      </c>
    </row>
    <row r="215" spans="1:4" x14ac:dyDescent="0.3">
      <c r="A215" s="27" t="s">
        <v>419</v>
      </c>
      <c r="B215" s="28" t="s">
        <v>707</v>
      </c>
      <c r="C215" s="27">
        <v>10959600000.000002</v>
      </c>
      <c r="D215" s="27">
        <v>2072.0901951768456</v>
      </c>
    </row>
    <row r="216" spans="1:4" x14ac:dyDescent="0.3">
      <c r="A216" s="27" t="s">
        <v>420</v>
      </c>
      <c r="B216" s="28" t="s">
        <v>708</v>
      </c>
      <c r="C216" s="27" t="s">
        <v>182</v>
      </c>
      <c r="D216" s="27" t="s">
        <v>182</v>
      </c>
    </row>
    <row r="217" spans="1:4" x14ac:dyDescent="0.3">
      <c r="A217" s="27" t="s">
        <v>421</v>
      </c>
      <c r="B217" s="28" t="s">
        <v>709</v>
      </c>
      <c r="C217" s="27">
        <v>28634291574.827019</v>
      </c>
      <c r="D217" s="27">
        <v>1343.3896638035292</v>
      </c>
    </row>
    <row r="218" spans="1:4" x14ac:dyDescent="0.3">
      <c r="A218" s="27" t="s">
        <v>422</v>
      </c>
      <c r="B218" s="28" t="s">
        <v>710</v>
      </c>
      <c r="C218" s="27">
        <v>23582865676.396053</v>
      </c>
      <c r="D218" s="27">
        <v>1417.7189411585307</v>
      </c>
    </row>
    <row r="219" spans="1:4" x14ac:dyDescent="0.3">
      <c r="A219" s="27" t="s">
        <v>423</v>
      </c>
      <c r="B219" s="28" t="s">
        <v>711</v>
      </c>
      <c r="C219" s="27">
        <v>1104192151938.7898</v>
      </c>
      <c r="D219" s="27">
        <v>1435.3562777433642</v>
      </c>
    </row>
    <row r="220" spans="1:4" x14ac:dyDescent="0.3">
      <c r="A220" s="27" t="s">
        <v>424</v>
      </c>
      <c r="B220" s="28" t="s">
        <v>712</v>
      </c>
      <c r="C220" s="27">
        <v>947704115241.12329</v>
      </c>
      <c r="D220" s="27">
        <v>1816.3460438029913</v>
      </c>
    </row>
    <row r="221" spans="1:4" x14ac:dyDescent="0.3">
      <c r="A221" s="27" t="s">
        <v>425</v>
      </c>
      <c r="B221" s="28" t="s">
        <v>713</v>
      </c>
      <c r="C221" s="27">
        <v>3094608683761.0327</v>
      </c>
      <c r="D221" s="27">
        <v>6282.0327428408955</v>
      </c>
    </row>
    <row r="222" spans="1:4" x14ac:dyDescent="0.3">
      <c r="A222" s="27" t="s">
        <v>426</v>
      </c>
      <c r="B222" s="28" t="s">
        <v>714</v>
      </c>
      <c r="C222" s="27">
        <v>84347922169.257324</v>
      </c>
      <c r="D222" s="27">
        <v>18582.684998492492</v>
      </c>
    </row>
    <row r="223" spans="1:4" x14ac:dyDescent="0.3">
      <c r="A223" s="27" t="s">
        <v>427</v>
      </c>
      <c r="B223" s="28" t="s">
        <v>715</v>
      </c>
      <c r="C223" s="27">
        <v>1686721115931.2341</v>
      </c>
      <c r="D223" s="27">
        <v>16856.766201271046</v>
      </c>
    </row>
    <row r="224" spans="1:4" x14ac:dyDescent="0.3">
      <c r="A224" s="27" t="s">
        <v>428</v>
      </c>
      <c r="B224" s="28" t="s">
        <v>716</v>
      </c>
      <c r="C224" s="27">
        <v>13810113630268.063</v>
      </c>
      <c r="D224" s="27">
        <v>3887.67750781635</v>
      </c>
    </row>
    <row r="225" spans="1:4" x14ac:dyDescent="0.3">
      <c r="A225" s="27" t="s">
        <v>429</v>
      </c>
      <c r="B225" s="28" t="s">
        <v>717</v>
      </c>
      <c r="C225" s="27">
        <v>31651815201708.344</v>
      </c>
      <c r="D225" s="27">
        <v>13252.755873418477</v>
      </c>
    </row>
    <row r="226" spans="1:4" x14ac:dyDescent="0.3">
      <c r="A226" s="27" t="s">
        <v>430</v>
      </c>
      <c r="B226" s="28" t="s">
        <v>718</v>
      </c>
      <c r="C226" s="27">
        <v>21685905208512.488</v>
      </c>
      <c r="D226" s="27">
        <v>10128.289091146558</v>
      </c>
    </row>
    <row r="227" spans="1:4" x14ac:dyDescent="0.3">
      <c r="A227" s="27" t="s">
        <v>431</v>
      </c>
      <c r="B227" s="28" t="s">
        <v>719</v>
      </c>
      <c r="C227" s="27">
        <v>21659054221866.211</v>
      </c>
      <c r="D227" s="27">
        <v>10242.367628733369</v>
      </c>
    </row>
    <row r="228" spans="1:4" x14ac:dyDescent="0.3">
      <c r="A228" s="27" t="s">
        <v>432</v>
      </c>
      <c r="B228" s="28" t="s">
        <v>720</v>
      </c>
      <c r="C228" s="27">
        <v>13433497319073.254</v>
      </c>
      <c r="D228" s="27">
        <v>38254.423221636564</v>
      </c>
    </row>
    <row r="229" spans="1:4" x14ac:dyDescent="0.3">
      <c r="A229" s="27" t="s">
        <v>433</v>
      </c>
      <c r="B229" s="28" t="s">
        <v>721</v>
      </c>
      <c r="C229" s="27">
        <v>24110620684172.273</v>
      </c>
      <c r="D229" s="27">
        <v>25973.905328123565</v>
      </c>
    </row>
    <row r="230" spans="1:4" x14ac:dyDescent="0.3">
      <c r="A230" s="27" t="s">
        <v>434</v>
      </c>
      <c r="B230" s="28" t="s">
        <v>722</v>
      </c>
      <c r="C230" s="27">
        <v>2161102618244.6704</v>
      </c>
      <c r="D230" s="27">
        <v>8634.6870900016238</v>
      </c>
    </row>
    <row r="231" spans="1:4" x14ac:dyDescent="0.3">
      <c r="A231" s="27" t="s">
        <v>435</v>
      </c>
      <c r="B231" s="28" t="s">
        <v>723</v>
      </c>
      <c r="C231" s="27">
        <v>4803175436464.4883</v>
      </c>
      <c r="D231" s="27">
        <v>10447.726561517511</v>
      </c>
    </row>
    <row r="232" spans="1:4" x14ac:dyDescent="0.3">
      <c r="A232" s="27" t="s">
        <v>436</v>
      </c>
      <c r="B232" s="28" t="s">
        <v>724</v>
      </c>
      <c r="C232" s="27">
        <v>15711329898680.781</v>
      </c>
      <c r="D232" s="27">
        <v>34896.371034593642</v>
      </c>
    </row>
    <row r="233" spans="1:4" x14ac:dyDescent="0.3">
      <c r="A233" s="27" t="s">
        <v>437</v>
      </c>
      <c r="B233" s="28" t="s">
        <v>725</v>
      </c>
      <c r="C233" s="27">
        <v>1535327163040.3521</v>
      </c>
      <c r="D233" s="27">
        <v>1419.2763794923148</v>
      </c>
    </row>
    <row r="234" spans="1:4" x14ac:dyDescent="0.3">
      <c r="A234" s="27" t="s">
        <v>438</v>
      </c>
      <c r="B234" s="28" t="s">
        <v>726</v>
      </c>
      <c r="C234" s="27">
        <v>955835602301.25098</v>
      </c>
      <c r="D234" s="27">
        <v>1015.3201367549922</v>
      </c>
    </row>
    <row r="235" spans="1:4" x14ac:dyDescent="0.3">
      <c r="A235" s="27" t="s">
        <v>439</v>
      </c>
      <c r="B235" s="28" t="s">
        <v>727</v>
      </c>
      <c r="C235" s="27">
        <v>59232240658596.422</v>
      </c>
      <c r="D235" s="27">
        <v>41776.335944533275</v>
      </c>
    </row>
    <row r="236" spans="1:4" x14ac:dyDescent="0.3">
      <c r="A236" s="27" t="s">
        <v>440</v>
      </c>
      <c r="B236" s="28" t="s">
        <v>728</v>
      </c>
      <c r="C236" s="27">
        <v>37462169705167.602</v>
      </c>
      <c r="D236" s="27">
        <v>7523.3978874004833</v>
      </c>
    </row>
    <row r="237" spans="1:4" x14ac:dyDescent="0.3">
      <c r="A237" s="27" t="s">
        <v>441</v>
      </c>
      <c r="B237" s="28" t="s">
        <v>729</v>
      </c>
      <c r="C237" s="27">
        <v>40354878865906</v>
      </c>
      <c r="D237" s="27">
        <v>5826.3910985705925</v>
      </c>
    </row>
    <row r="238" spans="1:4" x14ac:dyDescent="0.3">
      <c r="A238" s="27" t="s">
        <v>442</v>
      </c>
      <c r="B238" s="28" t="s">
        <v>730</v>
      </c>
      <c r="C238" s="27">
        <v>1405386054151.8975</v>
      </c>
      <c r="D238" s="27">
        <v>2076.0324550226519</v>
      </c>
    </row>
    <row r="239" spans="1:4" x14ac:dyDescent="0.3">
      <c r="A239" s="27" t="s">
        <v>443</v>
      </c>
      <c r="B239" s="28" t="s">
        <v>731</v>
      </c>
      <c r="C239" s="27">
        <v>1487323106586.5076</v>
      </c>
      <c r="D239" s="27">
        <v>1171.2654483590845</v>
      </c>
    </row>
    <row r="240" spans="1:4" x14ac:dyDescent="0.3">
      <c r="A240" s="27" t="s">
        <v>444</v>
      </c>
      <c r="B240" s="28" t="s">
        <v>732</v>
      </c>
      <c r="C240" s="27">
        <v>2892709160738.4033</v>
      </c>
      <c r="D240" s="27">
        <v>1485.8785447578573</v>
      </c>
    </row>
    <row r="241" spans="1:4" x14ac:dyDescent="0.3">
      <c r="A241" s="27" t="s">
        <v>445</v>
      </c>
      <c r="B241" s="28" t="s">
        <v>733</v>
      </c>
      <c r="C241" s="27">
        <v>27743341414834.48</v>
      </c>
      <c r="D241" s="27">
        <v>11914.027219452508</v>
      </c>
    </row>
    <row r="242" spans="1:4" x14ac:dyDescent="0.3">
      <c r="A242" s="27" t="s">
        <v>446</v>
      </c>
      <c r="B242" s="28" t="s">
        <v>734</v>
      </c>
      <c r="C242" s="27">
        <v>5875603254876.2822</v>
      </c>
      <c r="D242" s="27">
        <v>8873.0353890576844</v>
      </c>
    </row>
    <row r="243" spans="1:4" x14ac:dyDescent="0.3">
      <c r="A243" s="27" t="s">
        <v>447</v>
      </c>
      <c r="B243" s="28" t="s">
        <v>735</v>
      </c>
      <c r="C243" s="27">
        <v>5132738029517.5674</v>
      </c>
      <c r="D243" s="27">
        <v>8638.6660081134214</v>
      </c>
    </row>
    <row r="244" spans="1:4" x14ac:dyDescent="0.3">
      <c r="A244" s="27" t="s">
        <v>448</v>
      </c>
      <c r="B244" s="28" t="s">
        <v>736</v>
      </c>
      <c r="C244" s="27">
        <v>5658884607298.6104</v>
      </c>
      <c r="D244" s="27">
        <v>8746.2934214581965</v>
      </c>
    </row>
    <row r="245" spans="1:4" x14ac:dyDescent="0.3">
      <c r="A245" s="27" t="s">
        <v>449</v>
      </c>
      <c r="B245" s="28" t="s">
        <v>737</v>
      </c>
      <c r="C245" s="27">
        <v>1296267115798.7991</v>
      </c>
      <c r="D245" s="27">
        <v>1091.3382485246761</v>
      </c>
    </row>
    <row r="246" spans="1:4" x14ac:dyDescent="0.3">
      <c r="A246" s="27" t="s">
        <v>450</v>
      </c>
      <c r="B246" s="28" t="s">
        <v>738</v>
      </c>
      <c r="C246" s="27">
        <v>37102655224769.367</v>
      </c>
      <c r="D246" s="27">
        <v>5652.8750772695566</v>
      </c>
    </row>
    <row r="247" spans="1:4" x14ac:dyDescent="0.3">
      <c r="A247" s="27" t="s">
        <v>451</v>
      </c>
      <c r="B247" s="28" t="s">
        <v>739</v>
      </c>
      <c r="C247" s="27">
        <v>414693304323.71704</v>
      </c>
      <c r="D247" s="27">
        <v>663.92559694881993</v>
      </c>
    </row>
    <row r="248" spans="1:4" x14ac:dyDescent="0.3">
      <c r="A248" s="27" t="s">
        <v>452</v>
      </c>
      <c r="B248" s="28" t="s">
        <v>740</v>
      </c>
      <c r="C248" s="27">
        <v>7569839678967.7246</v>
      </c>
      <c r="D248" s="27">
        <v>2425.4681115998201</v>
      </c>
    </row>
    <row r="249" spans="1:4" x14ac:dyDescent="0.3">
      <c r="A249" s="27" t="s">
        <v>453</v>
      </c>
      <c r="B249" s="28" t="s">
        <v>741</v>
      </c>
      <c r="C249" s="27">
        <v>4444729170924.959</v>
      </c>
      <c r="D249" s="27">
        <v>5466.0890264932141</v>
      </c>
    </row>
    <row r="250" spans="1:4" x14ac:dyDescent="0.3">
      <c r="A250" s="27" t="s">
        <v>454</v>
      </c>
      <c r="B250" s="28" t="s">
        <v>742</v>
      </c>
      <c r="C250" s="27">
        <v>2242170825099.0703</v>
      </c>
      <c r="D250" s="27">
        <v>3023.0528333706466</v>
      </c>
    </row>
    <row r="251" spans="1:4" x14ac:dyDescent="0.3">
      <c r="A251" s="27" t="s">
        <v>455</v>
      </c>
      <c r="B251" s="28" t="s">
        <v>743</v>
      </c>
      <c r="C251" s="27">
        <v>2231211225099.0698</v>
      </c>
      <c r="D251" s="27">
        <v>3029.8830532120642</v>
      </c>
    </row>
    <row r="252" spans="1:4" x14ac:dyDescent="0.3">
      <c r="A252" s="27" t="s">
        <v>456</v>
      </c>
      <c r="B252" s="28" t="s">
        <v>744</v>
      </c>
      <c r="C252" s="27">
        <v>36684681189602.477</v>
      </c>
      <c r="D252" s="27">
        <v>6177.0227922305676</v>
      </c>
    </row>
    <row r="253" spans="1:4" x14ac:dyDescent="0.3">
      <c r="A253" s="27" t="s">
        <v>457</v>
      </c>
      <c r="B253" s="28" t="s">
        <v>745</v>
      </c>
      <c r="C253" s="27">
        <v>24410122957734.543</v>
      </c>
      <c r="D253" s="27">
        <v>63990.595935217083</v>
      </c>
    </row>
    <row r="254" spans="1:4" x14ac:dyDescent="0.3">
      <c r="A254" s="27" t="s">
        <v>458</v>
      </c>
      <c r="B254" s="28" t="s">
        <v>746</v>
      </c>
      <c r="C254" s="27" t="s">
        <v>182</v>
      </c>
      <c r="D254" s="27" t="s">
        <v>182</v>
      </c>
    </row>
    <row r="255" spans="1:4" x14ac:dyDescent="0.3">
      <c r="A255" s="27" t="s">
        <v>459</v>
      </c>
      <c r="B255" s="28" t="s">
        <v>747</v>
      </c>
      <c r="C255" s="27">
        <v>56519546866728.305</v>
      </c>
      <c r="D255" s="27">
        <v>40461.349667897499</v>
      </c>
    </row>
    <row r="256" spans="1:4" x14ac:dyDescent="0.3">
      <c r="A256" s="27" t="s">
        <v>460</v>
      </c>
      <c r="B256" s="28" t="s">
        <v>748</v>
      </c>
      <c r="C256" s="27">
        <v>162912209874.16779</v>
      </c>
      <c r="D256" s="27">
        <v>12597.72245563775</v>
      </c>
    </row>
    <row r="257" spans="1:4" x14ac:dyDescent="0.3">
      <c r="A257" s="27" t="s">
        <v>461</v>
      </c>
      <c r="B257" s="28" t="s">
        <v>749</v>
      </c>
      <c r="C257" s="27">
        <v>10675809216.951277</v>
      </c>
      <c r="D257" s="27">
        <v>3921.3732313197102</v>
      </c>
    </row>
    <row r="258" spans="1:4" x14ac:dyDescent="0.3">
      <c r="A258" s="27" t="s">
        <v>462</v>
      </c>
      <c r="B258" s="28" t="s">
        <v>750</v>
      </c>
      <c r="C258" s="27">
        <v>52545460857104.203</v>
      </c>
      <c r="D258" s="27">
        <v>46567.25756777163</v>
      </c>
    </row>
    <row r="259" spans="1:4" x14ac:dyDescent="0.3">
      <c r="A259" s="27" t="s">
        <v>463</v>
      </c>
      <c r="B259" s="28" t="s">
        <v>751</v>
      </c>
      <c r="C259" s="27">
        <v>1592884565151.9985</v>
      </c>
      <c r="D259" s="27">
        <v>1440.2839096924527</v>
      </c>
    </row>
    <row r="260" spans="1:4" x14ac:dyDescent="0.3">
      <c r="A260" s="27" t="s">
        <v>464</v>
      </c>
      <c r="B260" s="28" t="s">
        <v>752</v>
      </c>
      <c r="C260" s="27">
        <v>257992216362.76349</v>
      </c>
      <c r="D260" s="27">
        <v>12776.063094003388</v>
      </c>
    </row>
    <row r="261" spans="1:4" x14ac:dyDescent="0.3">
      <c r="A261" s="27" t="s">
        <v>465</v>
      </c>
      <c r="B261" s="28" t="s">
        <v>753</v>
      </c>
      <c r="C261" s="27">
        <v>3950657107997.7119</v>
      </c>
      <c r="D261" s="27">
        <v>2355.248324179558</v>
      </c>
    </row>
    <row r="262" spans="1:4" x14ac:dyDescent="0.3">
      <c r="A262" s="27" t="s">
        <v>466</v>
      </c>
      <c r="B262" s="28" t="s">
        <v>754</v>
      </c>
      <c r="C262" s="27">
        <v>3950657107997.7119</v>
      </c>
      <c r="D262" s="27">
        <v>2355.248324179558</v>
      </c>
    </row>
    <row r="263" spans="1:4" x14ac:dyDescent="0.3">
      <c r="A263" s="27" t="s">
        <v>467</v>
      </c>
      <c r="B263" s="28" t="s">
        <v>755</v>
      </c>
      <c r="C263" s="27">
        <v>2051896267179.9121</v>
      </c>
      <c r="D263" s="27">
        <v>1589.3298253707546</v>
      </c>
    </row>
    <row r="264" spans="1:4" x14ac:dyDescent="0.3">
      <c r="A264" s="27" t="s">
        <v>468</v>
      </c>
      <c r="B264" s="28" t="s">
        <v>756</v>
      </c>
      <c r="C264" s="27">
        <v>1933214104917.3716</v>
      </c>
      <c r="D264" s="27">
        <v>1668.1977926869979</v>
      </c>
    </row>
    <row r="265" spans="1:4" x14ac:dyDescent="0.3">
      <c r="A265" s="27" t="s">
        <v>469</v>
      </c>
      <c r="B265" s="28" t="s">
        <v>757</v>
      </c>
      <c r="C265" s="27">
        <v>2051896267179.9119</v>
      </c>
      <c r="D265" s="27">
        <v>1589.3298253707544</v>
      </c>
    </row>
    <row r="266" spans="1:4" x14ac:dyDescent="0.3">
      <c r="A266" s="27" t="s">
        <v>470</v>
      </c>
      <c r="B266" s="28" t="s">
        <v>758</v>
      </c>
      <c r="C266" s="27">
        <v>29114841510634.75</v>
      </c>
      <c r="D266" s="27">
        <v>10332.059446447318</v>
      </c>
    </row>
    <row r="267" spans="1:4" x14ac:dyDescent="0.3">
      <c r="A267" s="27" t="s">
        <v>471</v>
      </c>
      <c r="B267" s="28" t="s">
        <v>759</v>
      </c>
      <c r="C267" s="27">
        <v>96492690817960.547</v>
      </c>
      <c r="D267" s="27">
        <v>11851.50517161399</v>
      </c>
    </row>
    <row r="268" spans="1:4" x14ac:dyDescent="0.3">
      <c r="A268" s="27"/>
      <c r="B268" s="28"/>
      <c r="C268" s="27"/>
      <c r="D268" s="27"/>
    </row>
    <row r="269" spans="1:4" x14ac:dyDescent="0.3">
      <c r="A269" s="27"/>
      <c r="B269" s="28"/>
      <c r="C269" s="27"/>
      <c r="D269" s="27"/>
    </row>
    <row r="270" spans="1:4" x14ac:dyDescent="0.3">
      <c r="A270" s="27"/>
      <c r="B270" s="28"/>
      <c r="C270" s="27"/>
      <c r="D270" s="27"/>
    </row>
    <row r="271" spans="1:4" x14ac:dyDescent="0.3">
      <c r="A271" s="27" t="s">
        <v>472</v>
      </c>
      <c r="B271" s="28"/>
      <c r="C271" s="27"/>
      <c r="D271" s="27"/>
    </row>
    <row r="272" spans="1:4" x14ac:dyDescent="0.3">
      <c r="A272" s="27" t="s">
        <v>760</v>
      </c>
      <c r="B272" s="27"/>
      <c r="C272" s="27"/>
      <c r="D272" s="27"/>
    </row>
    <row r="273" spans="1:4" x14ac:dyDescent="0.3">
      <c r="A273" s="27"/>
      <c r="B273" s="27"/>
      <c r="C273" s="27"/>
      <c r="D273" s="27"/>
    </row>
    <row r="274" spans="1:4" x14ac:dyDescent="0.3">
      <c r="A274" s="27"/>
      <c r="B274" s="27"/>
      <c r="C274" s="27"/>
      <c r="D274" s="2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B21F-C17F-4672-8716-59D9368C48BA}">
  <dimension ref="A1:T272"/>
  <sheetViews>
    <sheetView workbookViewId="0">
      <pane xSplit="1" ySplit="1" topLeftCell="B119" activePane="bottomRight" state="frozen"/>
      <selection pane="topRight" activeCell="B1" sqref="B1"/>
      <selection pane="bottomLeft" activeCell="A3" sqref="A3"/>
      <selection pane="bottomRight" activeCell="S1" sqref="S1"/>
    </sheetView>
  </sheetViews>
  <sheetFormatPr defaultRowHeight="14" x14ac:dyDescent="0.3"/>
  <cols>
    <col min="1" max="2" width="16.5" customWidth="1"/>
    <col min="3" max="3" width="15.25" style="10" customWidth="1"/>
    <col min="4" max="4" width="13.6640625" style="10" customWidth="1"/>
    <col min="5" max="6" width="8.6640625" style="27"/>
    <col min="8" max="8" width="15.58203125" customWidth="1"/>
    <col min="9" max="9" width="17.83203125" customWidth="1"/>
    <col min="10" max="10" width="13.6640625" customWidth="1"/>
    <col min="12" max="13" width="14.33203125" customWidth="1"/>
    <col min="14" max="14" width="12.08203125" customWidth="1"/>
    <col min="18" max="18" width="14.08203125" style="27" customWidth="1"/>
    <col min="19" max="19" width="14" customWidth="1"/>
    <col min="20" max="20" width="12.33203125" bestFit="1" customWidth="1"/>
  </cols>
  <sheetData>
    <row r="1" spans="1:20" ht="84.5" thickBot="1" x14ac:dyDescent="0.35">
      <c r="A1" s="5" t="s">
        <v>174</v>
      </c>
      <c r="B1" s="6" t="s">
        <v>175</v>
      </c>
      <c r="C1" s="5" t="s">
        <v>763</v>
      </c>
      <c r="D1" s="5" t="s">
        <v>761</v>
      </c>
      <c r="G1" s="1" t="s">
        <v>176</v>
      </c>
      <c r="H1" s="7" t="s">
        <v>177</v>
      </c>
      <c r="I1" s="8" t="s">
        <v>763</v>
      </c>
      <c r="J1" s="9" t="s">
        <v>761</v>
      </c>
      <c r="L1" s="30" t="s">
        <v>765</v>
      </c>
      <c r="M1" s="30" t="s">
        <v>763</v>
      </c>
      <c r="N1" s="30" t="s">
        <v>761</v>
      </c>
      <c r="R1" s="30" t="s">
        <v>0</v>
      </c>
      <c r="S1" s="30" t="s">
        <v>763</v>
      </c>
      <c r="T1" s="30" t="s">
        <v>761</v>
      </c>
    </row>
    <row r="2" spans="1:20" x14ac:dyDescent="0.3">
      <c r="A2" t="s">
        <v>178</v>
      </c>
      <c r="B2" t="s">
        <v>178</v>
      </c>
      <c r="C2" s="10" t="s">
        <v>182</v>
      </c>
      <c r="D2" s="10" t="s">
        <v>182</v>
      </c>
      <c r="H2" s="11" t="s">
        <v>157</v>
      </c>
      <c r="I2" s="12" t="str" cm="1">
        <f t="array" ref="I2">_xlfn.XLOOKUP(UPPER(H2), UPPER($B$1:$B$268), $C$1:$C$268)</f>
        <v>..</v>
      </c>
      <c r="J2" s="13" t="str" cm="1">
        <f t="array" ref="J2">_xlfn.XLOOKUP(UPPER(H2), UPPER($B$1:$B$268), $D$1:$D$268)</f>
        <v>..</v>
      </c>
      <c r="L2" t="s">
        <v>157</v>
      </c>
      <c r="M2" t="s">
        <v>182</v>
      </c>
      <c r="N2" t="s">
        <v>182</v>
      </c>
      <c r="R2" s="27" t="s">
        <v>5</v>
      </c>
      <c r="S2">
        <f>VLOOKUP(R2,L:N,2,FALSE)</f>
        <v>104147.17399280037</v>
      </c>
      <c r="T2">
        <f>VLOOKUP(R2,L:N,3,FALSE)</f>
        <v>70508886559.21376</v>
      </c>
    </row>
    <row r="3" spans="1:20" x14ac:dyDescent="0.3">
      <c r="A3" t="s">
        <v>179</v>
      </c>
      <c r="B3" t="s">
        <v>179</v>
      </c>
      <c r="C3" s="10">
        <v>6549.2338741539725</v>
      </c>
      <c r="D3" s="10">
        <v>15568367220.799885</v>
      </c>
      <c r="H3" s="11" t="s">
        <v>68</v>
      </c>
      <c r="I3" s="12" cm="1">
        <f t="array" ref="I3">_xlfn.XLOOKUP(UPPER(H3), UPPER($B$1:$B$268), $C$1:$C$268)</f>
        <v>6549.2338741539725</v>
      </c>
      <c r="J3" s="13" cm="1">
        <f t="array" ref="J3">_xlfn.XLOOKUP(UPPER(H3), UPPER($B$1:$B$268), $D$1:$D$268)</f>
        <v>15568367220.799885</v>
      </c>
      <c r="L3" t="s">
        <v>68</v>
      </c>
      <c r="M3">
        <v>6549.2338741539725</v>
      </c>
      <c r="N3">
        <v>15568367220.799885</v>
      </c>
      <c r="R3" s="27" t="s">
        <v>6</v>
      </c>
      <c r="S3" s="27">
        <f t="shared" ref="S3:S66" si="0">VLOOKUP(R3,L:N,2,FALSE)</f>
        <v>94474.987970706905</v>
      </c>
      <c r="T3" s="27">
        <f t="shared" ref="T3:T66" si="1">VLOOKUP(R3,L:N,3,FALSE)</f>
        <v>509767195342.46063</v>
      </c>
    </row>
    <row r="4" spans="1:20" x14ac:dyDescent="0.3">
      <c r="A4" t="s">
        <v>180</v>
      </c>
      <c r="B4" t="s">
        <v>180</v>
      </c>
      <c r="C4" s="10">
        <v>4765.7290016838651</v>
      </c>
      <c r="D4" s="10">
        <v>223104305329.36099</v>
      </c>
      <c r="H4" s="11" t="s">
        <v>92</v>
      </c>
      <c r="I4" s="12" cm="1">
        <f t="array" ref="I4">_xlfn.XLOOKUP(UPPER(H4), UPPER($B$1:$B$268), $C$1:$C$268)</f>
        <v>4765.7290016838651</v>
      </c>
      <c r="J4" s="13" cm="1">
        <f t="array" ref="J4">_xlfn.XLOOKUP(UPPER(H4), UPPER($B$1:$B$268), $D$1:$D$268)</f>
        <v>223104305329.36099</v>
      </c>
      <c r="L4" t="s">
        <v>92</v>
      </c>
      <c r="M4">
        <v>4765.7290016838651</v>
      </c>
      <c r="N4">
        <v>223104305329.36099</v>
      </c>
      <c r="R4" s="27" t="s">
        <v>7</v>
      </c>
      <c r="S4" s="27">
        <f t="shared" si="0"/>
        <v>90067.464543116846</v>
      </c>
      <c r="T4" s="27">
        <f t="shared" si="1"/>
        <v>811109937475.13135</v>
      </c>
    </row>
    <row r="5" spans="1:20" x14ac:dyDescent="0.3">
      <c r="A5" t="s">
        <v>181</v>
      </c>
      <c r="B5" t="s">
        <v>181</v>
      </c>
      <c r="C5" s="10" t="s">
        <v>182</v>
      </c>
      <c r="D5" s="10" t="s">
        <v>182</v>
      </c>
      <c r="H5" s="11" t="s">
        <v>112</v>
      </c>
      <c r="I5" s="12" cm="1">
        <f t="array" ref="I5">_xlfn.XLOOKUP(UPPER(H5), UPPER($B$1:$B$268), $C$1:$C$268)</f>
        <v>2845.4777930297532</v>
      </c>
      <c r="J5" s="13" cm="1">
        <f t="array" ref="J5">_xlfn.XLOOKUP(UPPER(H5), UPPER($B$1:$B$268), $D$1:$D$268)</f>
        <v>107803341999.57848</v>
      </c>
      <c r="L5" t="s">
        <v>112</v>
      </c>
      <c r="M5">
        <v>2845.4777930297532</v>
      </c>
      <c r="N5">
        <v>107803341999.57848</v>
      </c>
      <c r="R5" s="27" t="s">
        <v>8</v>
      </c>
      <c r="S5" s="27">
        <f t="shared" si="0"/>
        <v>79667.527231477608</v>
      </c>
      <c r="T5" s="27">
        <f t="shared" si="1"/>
        <v>443929688973.89081</v>
      </c>
    </row>
    <row r="6" spans="1:20" x14ac:dyDescent="0.3">
      <c r="A6" t="s">
        <v>183</v>
      </c>
      <c r="B6" t="s">
        <v>183</v>
      </c>
      <c r="C6" s="10">
        <v>41034.526672307809</v>
      </c>
      <c r="D6" s="10">
        <v>3362287046.4755573</v>
      </c>
      <c r="H6" s="11" t="s">
        <v>57</v>
      </c>
      <c r="I6" s="12" cm="1">
        <f t="array" ref="I6">_xlfn.XLOOKUP(UPPER(H6), UPPER($B$1:$B$268), $C$1:$C$268)</f>
        <v>12774.350659662765</v>
      </c>
      <c r="J6" s="13" cm="1">
        <f t="array" ref="J6">_xlfn.XLOOKUP(UPPER(H6), UPPER($B$1:$B$268), $D$1:$D$268)</f>
        <v>583738758865.70459</v>
      </c>
      <c r="L6" t="s">
        <v>57</v>
      </c>
      <c r="M6">
        <v>12774.350659662765</v>
      </c>
      <c r="N6">
        <v>583738758865.70459</v>
      </c>
      <c r="R6" s="27" t="s">
        <v>9</v>
      </c>
      <c r="S6" s="27">
        <f t="shared" si="0"/>
        <v>67706.833614973919</v>
      </c>
      <c r="T6" s="27">
        <f t="shared" si="1"/>
        <v>408736675576.89142</v>
      </c>
    </row>
    <row r="7" spans="1:20" x14ac:dyDescent="0.3">
      <c r="A7" t="s">
        <v>184</v>
      </c>
      <c r="B7" t="s">
        <v>184</v>
      </c>
      <c r="C7" s="10">
        <v>2845.4777930297532</v>
      </c>
      <c r="D7" s="10">
        <v>107803341999.57848</v>
      </c>
      <c r="H7" s="11" t="s">
        <v>72</v>
      </c>
      <c r="I7" s="12" cm="1">
        <f t="array" ref="I7">_xlfn.XLOOKUP(UPPER(H7), UPPER($B$1:$B$268), $C$1:$C$268)</f>
        <v>5378.3179998168152</v>
      </c>
      <c r="J7" s="13" cm="1">
        <f t="array" ref="J7">_xlfn.XLOOKUP(UPPER(H7), UPPER($B$1:$B$268), $D$1:$D$268)</f>
        <v>16315127652.444309</v>
      </c>
      <c r="L7" t="s">
        <v>72</v>
      </c>
      <c r="M7">
        <v>5378.3179998168152</v>
      </c>
      <c r="N7">
        <v>16315127652.444309</v>
      </c>
      <c r="R7" s="27" t="s">
        <v>10</v>
      </c>
      <c r="S7" s="27">
        <f t="shared" si="0"/>
        <v>59307.177775971351</v>
      </c>
      <c r="T7" s="27">
        <f t="shared" si="1"/>
        <v>22922580053.479584</v>
      </c>
    </row>
    <row r="8" spans="1:20" x14ac:dyDescent="0.3">
      <c r="A8" t="s">
        <v>185</v>
      </c>
      <c r="B8" t="s">
        <v>185</v>
      </c>
      <c r="C8" s="10">
        <v>18350.185036972016</v>
      </c>
      <c r="D8" s="10">
        <v>1720733551.2869399</v>
      </c>
      <c r="H8" s="11" t="s">
        <v>14</v>
      </c>
      <c r="I8" s="12" cm="1">
        <f t="array" ref="I8">_xlfn.XLOOKUP(UPPER(H8), UPPER($B$1:$B$268), $C$1:$C$268)</f>
        <v>61480.670710530991</v>
      </c>
      <c r="J8" s="13" cm="1">
        <f t="array" ref="J8">_xlfn.XLOOKUP(UPPER(H8), UPPER($B$1:$B$268), $D$1:$D$268)</f>
        <v>1672078242948.2178</v>
      </c>
      <c r="L8" t="s">
        <v>14</v>
      </c>
      <c r="M8">
        <v>61480.670710530991</v>
      </c>
      <c r="N8">
        <v>1672078242948.2178</v>
      </c>
      <c r="R8" s="27" t="s">
        <v>11</v>
      </c>
      <c r="S8" s="27">
        <f t="shared" si="0"/>
        <v>62157.375179184797</v>
      </c>
      <c r="T8" s="27">
        <f t="shared" si="1"/>
        <v>177634714249.32825</v>
      </c>
    </row>
    <row r="9" spans="1:20" x14ac:dyDescent="0.3">
      <c r="A9" t="s">
        <v>186</v>
      </c>
      <c r="B9" t="s">
        <v>186</v>
      </c>
      <c r="C9" s="10">
        <v>12774.350659662765</v>
      </c>
      <c r="D9" s="10">
        <v>583738758865.70459</v>
      </c>
      <c r="H9" s="11" t="s">
        <v>17</v>
      </c>
      <c r="I9" s="12" cm="1">
        <f t="array" ref="I9">_xlfn.XLOOKUP(UPPER(H9), UPPER($B$1:$B$268), $C$1:$C$268)</f>
        <v>45958.825007126143</v>
      </c>
      <c r="J9" s="13" cm="1">
        <f t="array" ref="J9">_xlfn.XLOOKUP(UPPER(H9), UPPER($B$1:$B$268), $D$1:$D$268)</f>
        <v>421809268656.55359</v>
      </c>
      <c r="L9" t="s">
        <v>17</v>
      </c>
      <c r="M9">
        <v>45958.825007126143</v>
      </c>
      <c r="N9">
        <v>421809268656.55359</v>
      </c>
      <c r="R9" s="27" t="s">
        <v>12</v>
      </c>
      <c r="S9" s="27">
        <f t="shared" si="0"/>
        <v>66356.170675010115</v>
      </c>
      <c r="T9" s="27">
        <f t="shared" si="1"/>
        <v>22568462768174.316</v>
      </c>
    </row>
    <row r="10" spans="1:20" x14ac:dyDescent="0.3">
      <c r="A10" t="s">
        <v>187</v>
      </c>
      <c r="B10" t="s">
        <v>187</v>
      </c>
      <c r="C10" s="10">
        <v>5378.3179998168152</v>
      </c>
      <c r="D10" s="10">
        <v>16315127652.444309</v>
      </c>
      <c r="H10" s="11" t="s">
        <v>79</v>
      </c>
      <c r="I10" s="12" cm="1">
        <f t="array" ref="I10">_xlfn.XLOOKUP(UPPER(H10), UPPER($B$1:$B$268), $C$1:$C$268)</f>
        <v>5871.143732519522</v>
      </c>
      <c r="J10" s="13" cm="1">
        <f t="array" ref="J10">_xlfn.XLOOKUP(UPPER(H10), UPPER($B$1:$B$268), $D$1:$D$268)</f>
        <v>59902281408.462158</v>
      </c>
      <c r="L10" t="s">
        <v>79</v>
      </c>
      <c r="M10">
        <v>5871.143732519522</v>
      </c>
      <c r="N10">
        <v>59902281408.462158</v>
      </c>
      <c r="R10" s="27" t="s">
        <v>13</v>
      </c>
      <c r="S10" s="27">
        <f t="shared" si="0"/>
        <v>60772.862427604108</v>
      </c>
      <c r="T10" s="27">
        <f t="shared" si="1"/>
        <v>363238912546.89032</v>
      </c>
    </row>
    <row r="11" spans="1:20" x14ac:dyDescent="0.3">
      <c r="A11" t="s">
        <v>188</v>
      </c>
      <c r="B11" t="s">
        <v>188</v>
      </c>
      <c r="C11" s="10">
        <v>33373.917459126562</v>
      </c>
      <c r="D11" s="10">
        <v>3604216215.998373</v>
      </c>
      <c r="H11" s="11" t="s">
        <v>116</v>
      </c>
      <c r="I11" s="12" cm="1">
        <f t="array" ref="I11">_xlfn.XLOOKUP(UPPER(H11), UPPER($B$1:$B$268), $C$1:$C$268)</f>
        <v>1941.2787436002548</v>
      </c>
      <c r="J11" s="13" cm="1">
        <f t="array" ref="J11">_xlfn.XLOOKUP(UPPER(H11), UPPER($B$1:$B$268), $D$1:$D$268)</f>
        <v>336932927922.21008</v>
      </c>
      <c r="L11" t="s">
        <v>116</v>
      </c>
      <c r="M11">
        <v>1941.2787436002548</v>
      </c>
      <c r="N11">
        <v>336932927922.21008</v>
      </c>
      <c r="R11" s="27" t="s">
        <v>14</v>
      </c>
      <c r="S11" s="27">
        <f t="shared" si="0"/>
        <v>61480.670710530991</v>
      </c>
      <c r="T11" s="27">
        <f t="shared" si="1"/>
        <v>1672078242948.2178</v>
      </c>
    </row>
    <row r="12" spans="1:20" x14ac:dyDescent="0.3">
      <c r="A12" t="s">
        <v>189</v>
      </c>
      <c r="B12" t="s">
        <v>189</v>
      </c>
      <c r="C12" s="10">
        <v>61480.670710530991</v>
      </c>
      <c r="D12" s="10">
        <v>1672078242948.2178</v>
      </c>
      <c r="H12" s="11" t="s">
        <v>73</v>
      </c>
      <c r="I12" s="12" cm="1">
        <f t="array" ref="I12">_xlfn.XLOOKUP(UPPER(H12), UPPER($B$1:$B$268), $C$1:$C$268)</f>
        <v>6792.1318349556459</v>
      </c>
      <c r="J12" s="13" cm="1">
        <f t="array" ref="J12">_xlfn.XLOOKUP(UPPER(H12), UPPER($B$1:$B$268), $D$1:$D$268)</f>
        <v>62030020167.739143</v>
      </c>
      <c r="L12" t="s">
        <v>73</v>
      </c>
      <c r="M12">
        <v>6792.1318349556459</v>
      </c>
      <c r="N12">
        <v>62030020167.739143</v>
      </c>
      <c r="R12" s="27" t="s">
        <v>15</v>
      </c>
      <c r="S12" s="27">
        <f t="shared" si="0"/>
        <v>51178.525696814686</v>
      </c>
      <c r="T12" s="27">
        <f t="shared" si="1"/>
        <v>920880034447.74963</v>
      </c>
    </row>
    <row r="13" spans="1:20" x14ac:dyDescent="0.3">
      <c r="A13" t="s">
        <v>190</v>
      </c>
      <c r="B13" t="s">
        <v>190</v>
      </c>
      <c r="C13" s="10">
        <v>45958.825007126143</v>
      </c>
      <c r="D13" s="10">
        <v>421809268656.55359</v>
      </c>
      <c r="H13" s="11" t="s">
        <v>18</v>
      </c>
      <c r="I13" s="12" cm="1">
        <f t="array" ref="I13">_xlfn.XLOOKUP(UPPER(H13), UPPER($B$1:$B$268), $C$1:$C$268)</f>
        <v>45045.660102139846</v>
      </c>
      <c r="J13" s="13" cm="1">
        <f t="array" ref="J13">_xlfn.XLOOKUP(UPPER(H13), UPPER($B$1:$B$268), $D$1:$D$268)</f>
        <v>534178915343.83661</v>
      </c>
      <c r="L13" t="s">
        <v>18</v>
      </c>
      <c r="M13">
        <v>45045.660102139846</v>
      </c>
      <c r="N13">
        <v>534178915343.83661</v>
      </c>
      <c r="R13" s="27" t="s">
        <v>16</v>
      </c>
      <c r="S13" s="27" t="str">
        <f t="shared" si="0"/>
        <v>..</v>
      </c>
      <c r="T13" s="27" t="str">
        <f t="shared" si="1"/>
        <v>..</v>
      </c>
    </row>
    <row r="14" spans="1:20" x14ac:dyDescent="0.3">
      <c r="A14" t="s">
        <v>191</v>
      </c>
      <c r="B14" t="s">
        <v>191</v>
      </c>
      <c r="C14" s="10">
        <v>5871.143732519522</v>
      </c>
      <c r="D14" s="10">
        <v>59902281408.462158</v>
      </c>
      <c r="H14" s="11" t="s">
        <v>77</v>
      </c>
      <c r="I14" s="12" cm="1">
        <f t="array" ref="I14">_xlfn.XLOOKUP(UPPER(H14), UPPER($B$1:$B$268), $C$1:$C$268)</f>
        <v>6290.4929445274884</v>
      </c>
      <c r="J14" s="13" cm="1">
        <f t="array" ref="J14">_xlfn.XLOOKUP(UPPER(H14), UPPER($B$1:$B$268), $D$1:$D$268)</f>
        <v>2623588473.3599687</v>
      </c>
      <c r="L14" t="s">
        <v>77</v>
      </c>
      <c r="M14">
        <v>6290.4929445274884</v>
      </c>
      <c r="N14">
        <v>2623588473.3599687</v>
      </c>
      <c r="R14" s="27" t="s">
        <v>17</v>
      </c>
      <c r="S14" s="27">
        <f t="shared" si="0"/>
        <v>45958.825007126143</v>
      </c>
      <c r="T14" s="27">
        <f t="shared" si="1"/>
        <v>421809268656.55359</v>
      </c>
    </row>
    <row r="15" spans="1:20" x14ac:dyDescent="0.3">
      <c r="A15" t="s">
        <v>192</v>
      </c>
      <c r="B15" t="s">
        <v>192</v>
      </c>
      <c r="C15" s="10">
        <v>33968.203218791772</v>
      </c>
      <c r="D15" s="10">
        <v>13630862492.246418</v>
      </c>
      <c r="H15" s="11" t="s">
        <v>131</v>
      </c>
      <c r="I15" s="12" cm="1">
        <f t="array" ref="I15">_xlfn.XLOOKUP(UPPER(H15), UPPER($B$1:$B$268), $C$1:$C$268)</f>
        <v>1324.7831259743414</v>
      </c>
      <c r="J15" s="13" cm="1">
        <f t="array" ref="J15">_xlfn.XLOOKUP(UPPER(H15), UPPER($B$1:$B$268), $D$1:$D$268)</f>
        <v>19159972710.824131</v>
      </c>
      <c r="L15" t="s">
        <v>131</v>
      </c>
      <c r="M15">
        <v>1324.7831259743414</v>
      </c>
      <c r="N15">
        <v>19159972710.824131</v>
      </c>
      <c r="R15" s="27" t="s">
        <v>18</v>
      </c>
      <c r="S15" s="27">
        <f t="shared" si="0"/>
        <v>45045.660102139846</v>
      </c>
      <c r="T15" s="27">
        <f t="shared" si="1"/>
        <v>534178915343.83661</v>
      </c>
    </row>
    <row r="16" spans="1:20" x14ac:dyDescent="0.3">
      <c r="A16" t="s">
        <v>193</v>
      </c>
      <c r="B16" t="s">
        <v>193</v>
      </c>
      <c r="C16" s="10">
        <v>25812.45045773056</v>
      </c>
      <c r="D16" s="10">
        <v>41007465668.682808</v>
      </c>
      <c r="H16" s="11" t="s">
        <v>99</v>
      </c>
      <c r="I16" s="12" cm="1">
        <f t="array" ref="I16">_xlfn.XLOOKUP(UPPER(H16), UPPER($B$1:$B$268), $C$1:$C$268)</f>
        <v>3045.6147660238466</v>
      </c>
      <c r="J16" s="13" cm="1">
        <f t="array" ref="J16">_xlfn.XLOOKUP(UPPER(H16), UPPER($B$1:$B$268), $D$1:$D$268)</f>
        <v>37806175459.305305</v>
      </c>
      <c r="L16" t="s">
        <v>99</v>
      </c>
      <c r="M16">
        <v>3045.6147660238466</v>
      </c>
      <c r="N16">
        <v>37806175459.305305</v>
      </c>
      <c r="R16" s="27" t="s">
        <v>766</v>
      </c>
      <c r="S16" s="27">
        <f t="shared" si="0"/>
        <v>54209.947426487714</v>
      </c>
      <c r="T16" s="27">
        <f t="shared" si="1"/>
        <v>572983369203.27405</v>
      </c>
    </row>
    <row r="17" spans="1:20" x14ac:dyDescent="0.3">
      <c r="A17" t="s">
        <v>194</v>
      </c>
      <c r="B17" t="s">
        <v>194</v>
      </c>
      <c r="C17" s="10">
        <v>1941.2787436002548</v>
      </c>
      <c r="D17" s="10">
        <v>336932927922.21008</v>
      </c>
      <c r="H17" s="11" t="s">
        <v>70</v>
      </c>
      <c r="I17" s="12" cm="1">
        <f t="array" ref="I17">_xlfn.XLOOKUP(UPPER(H17), UPPER($B$1:$B$268), $C$1:$C$268)</f>
        <v>6730.2682882420531</v>
      </c>
      <c r="J17" s="13" cm="1">
        <f t="array" ref="J17">_xlfn.XLOOKUP(UPPER(H17), UPPER($B$1:$B$268), $D$1:$D$268)</f>
        <v>21296271621.874783</v>
      </c>
      <c r="L17" t="s">
        <v>70</v>
      </c>
      <c r="M17">
        <v>6730.2682882420531</v>
      </c>
      <c r="N17">
        <v>21296271621.874783</v>
      </c>
      <c r="R17" s="27" t="s">
        <v>20</v>
      </c>
      <c r="S17" s="27">
        <f t="shared" si="0"/>
        <v>44027.763155446919</v>
      </c>
      <c r="T17" s="27">
        <f t="shared" si="1"/>
        <v>3677048776153.856</v>
      </c>
    </row>
    <row r="18" spans="1:20" x14ac:dyDescent="0.3">
      <c r="A18" t="s">
        <v>195</v>
      </c>
      <c r="B18" t="s">
        <v>195</v>
      </c>
      <c r="C18" s="10">
        <v>21581.217125763291</v>
      </c>
      <c r="D18" s="10">
        <v>6095981657.8629799</v>
      </c>
      <c r="H18" s="11" t="s">
        <v>75</v>
      </c>
      <c r="I18" s="12" cm="1">
        <f t="array" ref="I18">_xlfn.XLOOKUP(UPPER(H18), UPPER($B$1:$B$268), $C$1:$C$268)</f>
        <v>6937.3318099026701</v>
      </c>
      <c r="J18" s="13" cm="1">
        <f t="array" ref="J18">_xlfn.XLOOKUP(UPPER(H18), UPPER($B$1:$B$268), $D$1:$D$268)</f>
        <v>17489977781.886208</v>
      </c>
      <c r="L18" t="s">
        <v>75</v>
      </c>
      <c r="M18">
        <v>6937.3318099026701</v>
      </c>
      <c r="N18">
        <v>17489977781.886208</v>
      </c>
      <c r="R18" s="27" t="s">
        <v>21</v>
      </c>
      <c r="S18" s="27">
        <f t="shared" si="0"/>
        <v>44413.398384740372</v>
      </c>
      <c r="T18" s="27">
        <f t="shared" si="1"/>
        <v>1833766996134.793</v>
      </c>
    </row>
    <row r="19" spans="1:20" x14ac:dyDescent="0.3">
      <c r="A19" t="s">
        <v>196</v>
      </c>
      <c r="B19" t="s">
        <v>196</v>
      </c>
      <c r="C19" s="10">
        <v>6792.1318349556459</v>
      </c>
      <c r="D19" s="10">
        <v>62030020167.739143</v>
      </c>
      <c r="H19" s="11" t="s">
        <v>67</v>
      </c>
      <c r="I19" s="12" cm="1">
        <f t="array" ref="I19">_xlfn.XLOOKUP(UPPER(H19), UPPER($B$1:$B$268), $C$1:$C$268)</f>
        <v>9566.7440862837084</v>
      </c>
      <c r="J19" s="13" cm="1">
        <f t="array" ref="J19">_xlfn.XLOOKUP(UPPER(H19), UPPER($B$1:$B$268), $D$1:$D$268)</f>
        <v>2028136094548.3352</v>
      </c>
      <c r="L19" t="s">
        <v>67</v>
      </c>
      <c r="M19">
        <v>9566.7440862837084</v>
      </c>
      <c r="N19">
        <v>2028136094548.3352</v>
      </c>
      <c r="R19" s="27" t="s">
        <v>22</v>
      </c>
      <c r="S19" s="27">
        <f t="shared" si="0"/>
        <v>45254.035865891739</v>
      </c>
      <c r="T19" s="27">
        <f t="shared" si="1"/>
        <v>254323653957.11951</v>
      </c>
    </row>
    <row r="20" spans="1:20" x14ac:dyDescent="0.3">
      <c r="A20" t="s">
        <v>197</v>
      </c>
      <c r="B20" t="s">
        <v>197</v>
      </c>
      <c r="C20" s="10">
        <v>45045.660102139846</v>
      </c>
      <c r="D20" s="10">
        <v>534178915343.83661</v>
      </c>
      <c r="H20" s="11" t="s">
        <v>198</v>
      </c>
      <c r="I20" s="12" cm="1">
        <f t="array" ref="I20">_xlfn.XLOOKUP(UPPER(H20), UPPER($B$1:$B$268), $C$1:$C$268)</f>
        <v>29563.868275308228</v>
      </c>
      <c r="J20" s="13" cm="1">
        <f t="array" ref="J20">_xlfn.XLOOKUP(UPPER(H20), UPPER($B$1:$B$268), $D$1:$D$268)</f>
        <v>13679822692.218899</v>
      </c>
      <c r="L20" t="s">
        <v>37</v>
      </c>
      <c r="M20">
        <v>29563.868275308228</v>
      </c>
      <c r="N20">
        <v>13679822692.218899</v>
      </c>
      <c r="R20" s="27" t="s">
        <v>23</v>
      </c>
      <c r="S20" s="27">
        <f t="shared" si="0"/>
        <v>41845.166056752256</v>
      </c>
      <c r="T20" s="27">
        <f t="shared" si="1"/>
        <v>417380424316.46967</v>
      </c>
    </row>
    <row r="21" spans="1:20" x14ac:dyDescent="0.3">
      <c r="A21" t="s">
        <v>199</v>
      </c>
      <c r="B21" t="s">
        <v>199</v>
      </c>
      <c r="C21" s="10">
        <v>6290.4929445274884</v>
      </c>
      <c r="D21" s="10">
        <v>2623588473.3599687</v>
      </c>
      <c r="H21" s="11" t="s">
        <v>56</v>
      </c>
      <c r="I21" s="12" cm="1">
        <f t="array" ref="I21">_xlfn.XLOOKUP(UPPER(H21), UPPER($B$1:$B$268), $C$1:$C$268)</f>
        <v>10126.898007570799</v>
      </c>
      <c r="J21" s="13" cm="1">
        <f t="array" ref="J21">_xlfn.XLOOKUP(UPPER(H21), UPPER($B$1:$B$268), $D$1:$D$268)</f>
        <v>65231613490.824707</v>
      </c>
      <c r="L21" t="s">
        <v>56</v>
      </c>
      <c r="M21">
        <v>10126.898007570799</v>
      </c>
      <c r="N21">
        <v>65231613490.824707</v>
      </c>
      <c r="R21" s="27" t="s">
        <v>24</v>
      </c>
      <c r="S21" s="27">
        <f t="shared" si="0"/>
        <v>47960.910576194154</v>
      </c>
      <c r="T21" s="27">
        <f t="shared" si="1"/>
        <v>3320141995547.6167</v>
      </c>
    </row>
    <row r="22" spans="1:20" x14ac:dyDescent="0.3">
      <c r="A22" t="s">
        <v>200</v>
      </c>
      <c r="B22" t="s">
        <v>200</v>
      </c>
      <c r="C22" s="10">
        <v>1324.7831259743414</v>
      </c>
      <c r="D22" s="10">
        <v>19159972710.824131</v>
      </c>
      <c r="H22" s="11" t="s">
        <v>146</v>
      </c>
      <c r="I22" s="12" cm="1">
        <f t="array" ref="I22">_xlfn.XLOOKUP(UPPER(H22), UPPER($B$1:$B$268), $C$1:$C$268)</f>
        <v>763.83373352240778</v>
      </c>
      <c r="J22" s="13" cm="1">
        <f t="array" ref="J22">_xlfn.XLOOKUP(UPPER(H22), UPPER($B$1:$B$268), $D$1:$D$268)</f>
        <v>17987353311.131538</v>
      </c>
      <c r="L22" t="s">
        <v>146</v>
      </c>
      <c r="M22">
        <v>763.83373352240778</v>
      </c>
      <c r="N22">
        <v>17987353311.131538</v>
      </c>
      <c r="R22" s="27" t="s">
        <v>25</v>
      </c>
      <c r="S22" s="27">
        <f t="shared" si="0"/>
        <v>41605.416867084365</v>
      </c>
      <c r="T22" s="27">
        <f t="shared" si="1"/>
        <v>457093751868.53564</v>
      </c>
    </row>
    <row r="23" spans="1:20" x14ac:dyDescent="0.3">
      <c r="A23" t="s">
        <v>201</v>
      </c>
      <c r="B23" t="s">
        <v>201</v>
      </c>
      <c r="C23" s="10">
        <v>122117.60358677612</v>
      </c>
      <c r="D23" s="10">
        <v>7893193425.4348612</v>
      </c>
      <c r="H23" s="11" t="s">
        <v>119</v>
      </c>
      <c r="I23" s="12" cm="1">
        <f t="array" ref="I23">_xlfn.XLOOKUP(UPPER(H23), UPPER($B$1:$B$268), $C$1:$C$268)</f>
        <v>2182.7184390234097</v>
      </c>
      <c r="J23" s="13" cm="1">
        <f t="array" ref="J23">_xlfn.XLOOKUP(UPPER(H23), UPPER($B$1:$B$268), $D$1:$D$268)</f>
        <v>38500536184.964561</v>
      </c>
      <c r="L23" t="s">
        <v>119</v>
      </c>
      <c r="M23">
        <v>2182.7184390234097</v>
      </c>
      <c r="N23">
        <v>38500536184.964561</v>
      </c>
      <c r="R23" s="27" t="s">
        <v>26</v>
      </c>
      <c r="S23" s="27">
        <f t="shared" si="0"/>
        <v>42408.237873163554</v>
      </c>
      <c r="T23" s="27">
        <f t="shared" si="1"/>
        <v>224233557754.35229</v>
      </c>
    </row>
    <row r="24" spans="1:20" x14ac:dyDescent="0.3">
      <c r="A24" t="s">
        <v>202</v>
      </c>
      <c r="B24" t="s">
        <v>202</v>
      </c>
      <c r="C24" s="10" t="s">
        <v>182</v>
      </c>
      <c r="D24" s="10" t="s">
        <v>182</v>
      </c>
      <c r="H24" s="11" t="s">
        <v>127</v>
      </c>
      <c r="I24" s="12" cm="1">
        <f t="array" ref="I24">_xlfn.XLOOKUP(UPPER(H24), UPPER($B$1:$B$268), $C$1:$C$268)</f>
        <v>1480.7309743199316</v>
      </c>
      <c r="J24" s="13" cm="1">
        <f t="array" ref="J24">_xlfn.XLOOKUP(UPPER(H24), UPPER($B$1:$B$268), $D$1:$D$268)</f>
        <v>43124429828.964264</v>
      </c>
      <c r="L24" t="s">
        <v>127</v>
      </c>
      <c r="M24">
        <v>1480.7309743199316</v>
      </c>
      <c r="N24">
        <v>43124429828.964264</v>
      </c>
      <c r="R24" s="27" t="s">
        <v>27</v>
      </c>
      <c r="S24" s="27">
        <f t="shared" si="0"/>
        <v>39683.395348902937</v>
      </c>
      <c r="T24" s="27">
        <f t="shared" si="1"/>
        <v>2720362347819.8081</v>
      </c>
    </row>
    <row r="25" spans="1:20" x14ac:dyDescent="0.3">
      <c r="A25" t="s">
        <v>203</v>
      </c>
      <c r="B25" t="s">
        <v>203</v>
      </c>
      <c r="C25" s="10">
        <v>3045.6147660238466</v>
      </c>
      <c r="D25" s="10">
        <v>37806175459.305305</v>
      </c>
      <c r="H25" s="11" t="s">
        <v>21</v>
      </c>
      <c r="I25" s="12" cm="1">
        <f t="array" ref="I25">_xlfn.XLOOKUP(UPPER(H25), UPPER($B$1:$B$268), $C$1:$C$268)</f>
        <v>44413.398384740372</v>
      </c>
      <c r="J25" s="13" cm="1">
        <f t="array" ref="J25">_xlfn.XLOOKUP(UPPER(H25), UPPER($B$1:$B$268), $D$1:$D$268)</f>
        <v>1833766996134.793</v>
      </c>
      <c r="L25" t="s">
        <v>21</v>
      </c>
      <c r="M25">
        <v>44413.398384740372</v>
      </c>
      <c r="N25">
        <v>1833766996134.793</v>
      </c>
      <c r="R25" s="27" t="s">
        <v>28</v>
      </c>
      <c r="S25" s="27">
        <f t="shared" si="0"/>
        <v>34670.081599711892</v>
      </c>
      <c r="T25" s="27">
        <f t="shared" si="1"/>
        <v>19721971907.751312</v>
      </c>
    </row>
    <row r="26" spans="1:20" x14ac:dyDescent="0.3">
      <c r="A26" t="s">
        <v>204</v>
      </c>
      <c r="B26" t="s">
        <v>204</v>
      </c>
      <c r="C26" s="10">
        <v>6730.2682882420531</v>
      </c>
      <c r="D26" s="10">
        <v>21296271621.874783</v>
      </c>
      <c r="G26" t="s">
        <v>205</v>
      </c>
      <c r="H26" s="11" t="s">
        <v>206</v>
      </c>
      <c r="I26" s="12" t="e" cm="1">
        <f t="array" ref="I26">_xlfn.XLOOKUP(UPPER(H26), UPPER($B$1:$B$268), $C$1:$C$268)</f>
        <v>#N/A</v>
      </c>
      <c r="J26" s="13" t="e" cm="1">
        <f t="array" ref="J26">_xlfn.XLOOKUP(UPPER(H26), UPPER($B$1:$B$268), $D$1:$D$268)</f>
        <v>#N/A</v>
      </c>
      <c r="L26" t="s">
        <v>162</v>
      </c>
      <c r="M26" t="e">
        <v>#N/A</v>
      </c>
      <c r="N26" t="e">
        <v>#N/A</v>
      </c>
      <c r="R26" s="27" t="s">
        <v>29</v>
      </c>
      <c r="S26" s="27">
        <f t="shared" si="0"/>
        <v>34495.254579963643</v>
      </c>
      <c r="T26" s="27">
        <f t="shared" si="1"/>
        <v>2033588532657.241</v>
      </c>
    </row>
    <row r="27" spans="1:20" x14ac:dyDescent="0.3">
      <c r="A27" t="s">
        <v>207</v>
      </c>
      <c r="B27" t="s">
        <v>207</v>
      </c>
      <c r="C27" s="10">
        <v>6937.3318099026701</v>
      </c>
      <c r="D27" s="10">
        <v>17489977781.886208</v>
      </c>
      <c r="G27" t="s">
        <v>205</v>
      </c>
      <c r="H27" s="11" t="s">
        <v>208</v>
      </c>
      <c r="I27" s="12" t="e" cm="1">
        <f t="array" ref="I27">_xlfn.XLOOKUP(UPPER(H27), UPPER($B$1:$B$268), $C$1:$C$268)</f>
        <v>#N/A</v>
      </c>
      <c r="J27" s="13" t="e" cm="1">
        <f t="array" ref="J27">_xlfn.XLOOKUP(UPPER(H27), UPPER($B$1:$B$268), $D$1:$D$268)</f>
        <v>#N/A</v>
      </c>
      <c r="L27" t="s">
        <v>169</v>
      </c>
      <c r="M27" t="e">
        <v>#N/A</v>
      </c>
      <c r="N27" t="e">
        <v>#N/A</v>
      </c>
      <c r="R27" s="27" t="s">
        <v>30</v>
      </c>
      <c r="S27" s="27">
        <f t="shared" si="0"/>
        <v>32617.216796875</v>
      </c>
      <c r="T27" s="27">
        <f t="shared" si="1"/>
        <v>31740302544.146255</v>
      </c>
    </row>
    <row r="28" spans="1:20" x14ac:dyDescent="0.3">
      <c r="A28" t="s">
        <v>209</v>
      </c>
      <c r="B28" t="s">
        <v>209</v>
      </c>
      <c r="C28" s="10">
        <v>9566.7440862837084</v>
      </c>
      <c r="D28" s="10">
        <v>2028136094548.3352</v>
      </c>
      <c r="H28" s="11" t="s">
        <v>156</v>
      </c>
      <c r="I28" s="12" cm="1">
        <f t="array" ref="I28">_xlfn.XLOOKUP(UPPER(H28), UPPER($B$1:$B$268), $C$1:$C$268)</f>
        <v>389.93830796422935</v>
      </c>
      <c r="J28" s="13" cm="1">
        <f t="array" ref="J28">_xlfn.XLOOKUP(UPPER(H28), UPPER($B$1:$B$268), $D$1:$D$268)</f>
        <v>2078640238.8818378</v>
      </c>
      <c r="L28" t="s">
        <v>156</v>
      </c>
      <c r="M28">
        <v>389.93830796422935</v>
      </c>
      <c r="N28">
        <v>2078640238.8818378</v>
      </c>
      <c r="R28" s="27" t="s">
        <v>31</v>
      </c>
      <c r="S28" s="27">
        <f t="shared" si="0"/>
        <v>24963.332213909456</v>
      </c>
      <c r="T28" s="27">
        <f t="shared" si="1"/>
        <v>881212616884.02368</v>
      </c>
    </row>
    <row r="29" spans="1:20" x14ac:dyDescent="0.3">
      <c r="A29" t="s">
        <v>210</v>
      </c>
      <c r="B29" t="s">
        <v>210</v>
      </c>
      <c r="C29" s="10" t="s">
        <v>182</v>
      </c>
      <c r="D29" s="10" t="s">
        <v>182</v>
      </c>
      <c r="H29" s="11" t="s">
        <v>144</v>
      </c>
      <c r="I29" s="12" cm="1">
        <f t="array" ref="I29">_xlfn.XLOOKUP(UPPER(H29), UPPER($B$1:$B$268), $C$1:$C$268)</f>
        <v>849.70732100062514</v>
      </c>
      <c r="J29" s="13" cm="1">
        <f t="array" ref="J29">_xlfn.XLOOKUP(UPPER(H29), UPPER($B$1:$B$268), $D$1:$D$268)</f>
        <v>17248313422.992172</v>
      </c>
      <c r="L29" t="s">
        <v>144</v>
      </c>
      <c r="M29">
        <v>849.70732100062514</v>
      </c>
      <c r="N29">
        <v>17248313422.992172</v>
      </c>
      <c r="R29" s="27" t="s">
        <v>32</v>
      </c>
      <c r="S29" s="27">
        <f t="shared" si="0"/>
        <v>37048.42640014959</v>
      </c>
      <c r="T29" s="27">
        <f t="shared" si="1"/>
        <v>1917295522781.8574</v>
      </c>
    </row>
    <row r="30" spans="1:20" x14ac:dyDescent="0.3">
      <c r="A30" t="s">
        <v>211</v>
      </c>
      <c r="B30" s="14" t="s">
        <v>198</v>
      </c>
      <c r="C30" s="10">
        <v>29563.868275308228</v>
      </c>
      <c r="D30" s="10">
        <v>13679822692.218899</v>
      </c>
      <c r="H30" s="11" t="s">
        <v>54</v>
      </c>
      <c r="I30" s="12" cm="1">
        <f t="array" ref="I30">_xlfn.XLOOKUP(UPPER(H30), UPPER($B$1:$B$268), $C$1:$C$268)</f>
        <v>14579.40010713071</v>
      </c>
      <c r="J30" s="13" cm="1">
        <f t="array" ref="J30">_xlfn.XLOOKUP(UPPER(H30), UPPER($B$1:$B$268), $D$1:$D$268)</f>
        <v>288158504434.81396</v>
      </c>
      <c r="L30" t="s">
        <v>54</v>
      </c>
      <c r="M30">
        <v>14579.40010713071</v>
      </c>
      <c r="N30">
        <v>288158504434.81396</v>
      </c>
      <c r="R30" s="27" t="s">
        <v>33</v>
      </c>
      <c r="S30" s="27">
        <f t="shared" si="0"/>
        <v>23867.82650029497</v>
      </c>
      <c r="T30" s="27">
        <f t="shared" si="1"/>
        <v>116887023610.31404</v>
      </c>
    </row>
    <row r="31" spans="1:20" x14ac:dyDescent="0.3">
      <c r="A31" t="s">
        <v>212</v>
      </c>
      <c r="B31" t="s">
        <v>212</v>
      </c>
      <c r="C31" s="10">
        <v>10126.898007570799</v>
      </c>
      <c r="D31" s="10">
        <v>65231613490.824707</v>
      </c>
      <c r="H31" s="11" t="s">
        <v>61</v>
      </c>
      <c r="I31" s="12" cm="1">
        <f t="array" ref="I31">_xlfn.XLOOKUP(UPPER(H31), UPPER($B$1:$B$268), $C$1:$C$268)</f>
        <v>13121.676990556489</v>
      </c>
      <c r="J31" s="13" cm="1">
        <f t="array" ref="J31">_xlfn.XLOOKUP(UPPER(H31), UPPER($B$1:$B$268), $D$1:$D$268)</f>
        <v>18488114837769.328</v>
      </c>
      <c r="L31" t="s">
        <v>61</v>
      </c>
      <c r="M31">
        <v>13121.676990556489</v>
      </c>
      <c r="N31">
        <v>18488114837769.328</v>
      </c>
      <c r="R31" s="27" t="s">
        <v>34</v>
      </c>
      <c r="S31" s="27">
        <f t="shared" si="0"/>
        <v>37152.563600355206</v>
      </c>
      <c r="T31" s="27">
        <f t="shared" si="1"/>
        <v>4606002855955.1328</v>
      </c>
    </row>
    <row r="32" spans="1:20" x14ac:dyDescent="0.3">
      <c r="A32" t="s">
        <v>213</v>
      </c>
      <c r="B32" t="s">
        <v>213</v>
      </c>
      <c r="C32" s="10">
        <v>763.83373352240778</v>
      </c>
      <c r="D32" s="10">
        <v>17987353311.131538</v>
      </c>
      <c r="H32" s="11" t="s">
        <v>80</v>
      </c>
      <c r="I32" s="12" cm="1">
        <f t="array" ref="I32">_xlfn.XLOOKUP(UPPER(H32), UPPER($B$1:$B$268), $C$1:$C$268)</f>
        <v>6863.5956319434217</v>
      </c>
      <c r="J32" s="13" cm="1">
        <f t="array" ref="J32">_xlfn.XLOOKUP(UPPER(H32), UPPER($B$1:$B$268), $D$1:$D$268)</f>
        <v>362990610076.17419</v>
      </c>
      <c r="L32" t="s">
        <v>80</v>
      </c>
      <c r="M32">
        <v>6863.5956319434217</v>
      </c>
      <c r="N32">
        <v>362990610076.17419</v>
      </c>
      <c r="R32" s="27" t="s">
        <v>35</v>
      </c>
      <c r="S32" s="27" t="str">
        <f t="shared" si="0"/>
        <v>..</v>
      </c>
      <c r="T32" s="27" t="str">
        <f t="shared" si="1"/>
        <v>..</v>
      </c>
    </row>
    <row r="33" spans="1:20" x14ac:dyDescent="0.3">
      <c r="A33" t="s">
        <v>214</v>
      </c>
      <c r="B33" t="s">
        <v>214</v>
      </c>
      <c r="C33" s="10">
        <v>268.70085739172424</v>
      </c>
      <c r="D33" s="10">
        <v>3774652142.6554604</v>
      </c>
      <c r="H33" s="11" t="s">
        <v>215</v>
      </c>
      <c r="I33" s="12" cm="1">
        <f t="array" ref="I33">_xlfn.XLOOKUP(UPPER(H33), UPPER($B$1:$B$268), $C$1:$C$268)</f>
        <v>1679.5806109770717</v>
      </c>
      <c r="J33" s="13" cm="1">
        <f t="array" ref="J33">_xlfn.XLOOKUP(UPPER(H33), UPPER($B$1:$B$268), $D$1:$D$268)</f>
        <v>10636718505.673967</v>
      </c>
      <c r="L33" t="s">
        <v>118</v>
      </c>
      <c r="M33">
        <v>1679.5806109770717</v>
      </c>
      <c r="N33">
        <v>10636718505.673967</v>
      </c>
      <c r="R33" s="27" t="s">
        <v>36</v>
      </c>
      <c r="S33" s="27">
        <f t="shared" si="0"/>
        <v>29245.21924517295</v>
      </c>
      <c r="T33" s="27">
        <f t="shared" si="1"/>
        <v>1428595035672.3743</v>
      </c>
    </row>
    <row r="34" spans="1:20" x14ac:dyDescent="0.3">
      <c r="A34" t="s">
        <v>216</v>
      </c>
      <c r="B34" t="s">
        <v>216</v>
      </c>
      <c r="C34" s="10">
        <v>4448.9660907889083</v>
      </c>
      <c r="D34" s="10">
        <v>2335159974.8350101</v>
      </c>
      <c r="H34" s="11" t="s">
        <v>150</v>
      </c>
      <c r="I34" s="12" cm="1">
        <f t="array" ref="I34">_xlfn.XLOOKUP(UPPER(H34), UPPER($B$1:$B$268), $C$1:$C$268)</f>
        <v>554.24412998076605</v>
      </c>
      <c r="J34" s="13" cm="1">
        <f t="array" ref="J34">_xlfn.XLOOKUP(UPPER(H34), UPPER($B$1:$B$268), $D$1:$D$268)</f>
        <v>60565728422.472641</v>
      </c>
      <c r="L34" t="s">
        <v>150</v>
      </c>
      <c r="M34">
        <v>554.24412998076605</v>
      </c>
      <c r="N34">
        <v>60565728422.472641</v>
      </c>
      <c r="R34" s="27" t="s">
        <v>37</v>
      </c>
      <c r="S34" s="27">
        <f t="shared" si="0"/>
        <v>29563.868275308228</v>
      </c>
      <c r="T34" s="27">
        <f t="shared" si="1"/>
        <v>13679822692.218899</v>
      </c>
    </row>
    <row r="35" spans="1:20" x14ac:dyDescent="0.3">
      <c r="A35" t="s">
        <v>217</v>
      </c>
      <c r="B35" t="s">
        <v>217</v>
      </c>
      <c r="C35" s="10">
        <v>2182.7184390234097</v>
      </c>
      <c r="D35" s="10">
        <v>38500536184.964561</v>
      </c>
      <c r="H35" s="11" t="s">
        <v>55</v>
      </c>
      <c r="I35" s="12" cm="1">
        <f t="array" ref="I35">_xlfn.XLOOKUP(UPPER(H35), UPPER($B$1:$B$268), $C$1:$C$268)</f>
        <v>14866.58236761087</v>
      </c>
      <c r="J35" s="13" cm="1">
        <f t="array" ref="J35">_xlfn.XLOOKUP(UPPER(H35), UPPER($B$1:$B$268), $D$1:$D$268)</f>
        <v>76264229553.430679</v>
      </c>
      <c r="L35" t="s">
        <v>55</v>
      </c>
      <c r="M35">
        <v>14866.58236761087</v>
      </c>
      <c r="N35">
        <v>76264229553.430679</v>
      </c>
      <c r="R35" s="27" t="s">
        <v>38</v>
      </c>
      <c r="S35" s="27">
        <f t="shared" si="0"/>
        <v>26134.627203986995</v>
      </c>
      <c r="T35" s="27">
        <f t="shared" si="1"/>
        <v>55598805913.761932</v>
      </c>
    </row>
    <row r="36" spans="1:20" x14ac:dyDescent="0.3">
      <c r="A36" t="s">
        <v>218</v>
      </c>
      <c r="B36" t="s">
        <v>218</v>
      </c>
      <c r="C36" s="10">
        <v>1480.7309743199316</v>
      </c>
      <c r="D36" s="10">
        <v>43124429828.964264</v>
      </c>
      <c r="H36" s="11" t="s">
        <v>219</v>
      </c>
      <c r="I36" s="12" cm="1">
        <f t="array" ref="I36">_xlfn.XLOOKUP(UPPER(H36), UPPER($B$1:$B$268), $C$1:$C$268)</f>
        <v>2395.676890892219</v>
      </c>
      <c r="J36" s="13" cm="1">
        <f t="array" ref="J36">_xlfn.XLOOKUP(UPPER(H36), UPPER($B$1:$B$268), $D$1:$D$268)</f>
        <v>76504096839.437027</v>
      </c>
      <c r="L36" t="s">
        <v>115</v>
      </c>
      <c r="M36">
        <v>2395.676890892219</v>
      </c>
      <c r="N36">
        <v>76504096839.437027</v>
      </c>
      <c r="R36" s="27" t="s">
        <v>39</v>
      </c>
      <c r="S36" s="27">
        <f t="shared" si="0"/>
        <v>20445.432830126982</v>
      </c>
      <c r="T36" s="27">
        <f t="shared" si="1"/>
        <v>222958017484.65396</v>
      </c>
    </row>
    <row r="37" spans="1:20" x14ac:dyDescent="0.3">
      <c r="A37" t="s">
        <v>220</v>
      </c>
      <c r="B37" t="s">
        <v>220</v>
      </c>
      <c r="C37" s="10">
        <v>44413.398384740372</v>
      </c>
      <c r="D37" s="10">
        <v>1833766996134.793</v>
      </c>
      <c r="H37" s="11" t="s">
        <v>48</v>
      </c>
      <c r="I37" s="12" cm="1">
        <f t="array" ref="I37">_xlfn.XLOOKUP(UPPER(H37), UPPER($B$1:$B$268), $C$1:$C$268)</f>
        <v>17854.209101268534</v>
      </c>
      <c r="J37" s="13" cm="1">
        <f t="array" ref="J37">_xlfn.XLOOKUP(UPPER(H37), UPPER($B$1:$B$268), $D$1:$D$268)</f>
        <v>69027943227.324402</v>
      </c>
      <c r="L37" t="s">
        <v>48</v>
      </c>
      <c r="M37">
        <v>17854.209101268534</v>
      </c>
      <c r="N37">
        <v>69027943227.324402</v>
      </c>
      <c r="R37" s="27" t="s">
        <v>40</v>
      </c>
      <c r="S37" s="27">
        <f t="shared" si="0"/>
        <v>20078.139762099312</v>
      </c>
      <c r="T37" s="27">
        <f t="shared" si="1"/>
        <v>27554054399.259132</v>
      </c>
    </row>
    <row r="38" spans="1:20" x14ac:dyDescent="0.3">
      <c r="A38" t="s">
        <v>221</v>
      </c>
      <c r="B38" t="s">
        <v>221</v>
      </c>
      <c r="C38" s="10" t="s">
        <v>182</v>
      </c>
      <c r="D38" s="10" t="s">
        <v>182</v>
      </c>
      <c r="H38" s="11" t="s">
        <v>159</v>
      </c>
      <c r="I38" s="12" cm="1">
        <f t="array" ref="I38">_xlfn.XLOOKUP(UPPER(H38), UPPER($B$1:$B$268), $C$1:$C$268)</f>
        <v>7381.3977404886891</v>
      </c>
      <c r="J38" s="13" cm="1">
        <f t="array" ref="J38">_xlfn.XLOOKUP(UPPER(H38), UPPER($B$1:$B$268), $D$1:$D$268)</f>
        <v>81046145427.256119</v>
      </c>
      <c r="L38" t="s">
        <v>159</v>
      </c>
      <c r="M38">
        <v>7381.3977404886891</v>
      </c>
      <c r="N38">
        <v>81046145427.256119</v>
      </c>
      <c r="R38" s="27" t="s">
        <v>41</v>
      </c>
      <c r="S38" s="27">
        <f t="shared" si="0"/>
        <v>19092.645117695487</v>
      </c>
      <c r="T38" s="27">
        <f t="shared" si="1"/>
        <v>55144866855.247284</v>
      </c>
    </row>
    <row r="39" spans="1:20" x14ac:dyDescent="0.3">
      <c r="A39" t="s">
        <v>222</v>
      </c>
      <c r="B39" t="s">
        <v>222</v>
      </c>
      <c r="C39" s="10">
        <v>389.93830796422935</v>
      </c>
      <c r="D39" s="10">
        <v>2078640238.8818378</v>
      </c>
      <c r="H39" s="11" t="s">
        <v>30</v>
      </c>
      <c r="I39" s="12" cm="1">
        <f t="array" ref="I39">_xlfn.XLOOKUP(UPPER(H39), UPPER($B$1:$B$268), $C$1:$C$268)</f>
        <v>32617.216796875</v>
      </c>
      <c r="J39" s="13" cm="1">
        <f t="array" ref="J39">_xlfn.XLOOKUP(UPPER(H39), UPPER($B$1:$B$268), $D$1:$D$268)</f>
        <v>31740302544.146255</v>
      </c>
      <c r="L39" t="s">
        <v>30</v>
      </c>
      <c r="M39">
        <v>32617.216796875</v>
      </c>
      <c r="N39">
        <v>31740302544.146255</v>
      </c>
      <c r="R39" s="27" t="s">
        <v>42</v>
      </c>
      <c r="S39" s="27">
        <f t="shared" si="0"/>
        <v>22647.379189557902</v>
      </c>
      <c r="T39" s="27">
        <f t="shared" si="1"/>
        <v>242206495918.36029</v>
      </c>
    </row>
    <row r="40" spans="1:20" x14ac:dyDescent="0.3">
      <c r="A40" t="s">
        <v>223</v>
      </c>
      <c r="B40" t="s">
        <v>223</v>
      </c>
      <c r="C40" s="10">
        <v>849.70732100062514</v>
      </c>
      <c r="D40" s="10">
        <v>17248313422.992172</v>
      </c>
      <c r="H40" s="11" t="s">
        <v>224</v>
      </c>
      <c r="I40" s="12" cm="1">
        <f t="array" ref="I40">_xlfn.XLOOKUP(UPPER(H40), UPPER($B$1:$B$268), $C$1:$C$268)</f>
        <v>20445.432830126982</v>
      </c>
      <c r="J40" s="13" cm="1">
        <f t="array" ref="J40">_xlfn.XLOOKUP(UPPER(H40), UPPER($B$1:$B$268), $D$1:$D$268)</f>
        <v>222958017484.65396</v>
      </c>
      <c r="L40" t="s">
        <v>39</v>
      </c>
      <c r="M40">
        <v>20445.432830126982</v>
      </c>
      <c r="N40">
        <v>222958017484.65396</v>
      </c>
      <c r="R40" s="27" t="s">
        <v>43</v>
      </c>
      <c r="S40" s="27">
        <f t="shared" si="0"/>
        <v>19776.175806949843</v>
      </c>
      <c r="T40" s="27">
        <f t="shared" si="1"/>
        <v>107227789781.41272</v>
      </c>
    </row>
    <row r="41" spans="1:20" x14ac:dyDescent="0.3">
      <c r="A41" t="s">
        <v>225</v>
      </c>
      <c r="B41" t="s">
        <v>225</v>
      </c>
      <c r="C41" s="10" t="s">
        <v>182</v>
      </c>
      <c r="D41" s="10" t="s">
        <v>182</v>
      </c>
      <c r="H41" s="11" t="s">
        <v>13</v>
      </c>
      <c r="I41" s="12" cm="1">
        <f t="array" ref="I41">_xlfn.XLOOKUP(UPPER(H41), UPPER($B$1:$B$268), $C$1:$C$268)</f>
        <v>60772.862427604108</v>
      </c>
      <c r="J41" s="13" cm="1">
        <f t="array" ref="J41">_xlfn.XLOOKUP(UPPER(H41), UPPER($B$1:$B$268), $D$1:$D$268)</f>
        <v>363238912546.89032</v>
      </c>
      <c r="L41" t="s">
        <v>13</v>
      </c>
      <c r="M41">
        <v>60772.862427604108</v>
      </c>
      <c r="N41">
        <v>363238912546.89032</v>
      </c>
      <c r="R41" s="27" t="s">
        <v>44</v>
      </c>
      <c r="S41" s="27">
        <f t="shared" si="0"/>
        <v>21494.685606059869</v>
      </c>
      <c r="T41" s="27">
        <f t="shared" si="1"/>
        <v>223655084018.92416</v>
      </c>
    </row>
    <row r="42" spans="1:20" x14ac:dyDescent="0.3">
      <c r="A42" t="s">
        <v>226</v>
      </c>
      <c r="B42" t="s">
        <v>226</v>
      </c>
      <c r="C42" s="10">
        <v>14579.40010713071</v>
      </c>
      <c r="D42" s="10">
        <v>288158504434.81396</v>
      </c>
      <c r="H42" s="11" t="s">
        <v>109</v>
      </c>
      <c r="I42" s="12" cm="1">
        <f t="array" ref="I42">_xlfn.XLOOKUP(UPPER(H42), UPPER($B$1:$B$268), $C$1:$C$268)</f>
        <v>3290.4248205259801</v>
      </c>
      <c r="J42" s="13" cm="1">
        <f t="array" ref="J42">_xlfn.XLOOKUP(UPPER(H42), UPPER($B$1:$B$268), $D$1:$D$268)</f>
        <v>3845591877.0947642</v>
      </c>
      <c r="L42" t="s">
        <v>109</v>
      </c>
      <c r="M42">
        <v>3290.4248205259801</v>
      </c>
      <c r="N42">
        <v>3845591877.0947642</v>
      </c>
      <c r="R42" s="27" t="s">
        <v>45</v>
      </c>
      <c r="S42" s="27">
        <f t="shared" si="0"/>
        <v>18958.603329353653</v>
      </c>
      <c r="T42" s="27">
        <f t="shared" si="1"/>
        <v>64204978531.949135</v>
      </c>
    </row>
    <row r="43" spans="1:20" x14ac:dyDescent="0.3">
      <c r="A43" t="s">
        <v>227</v>
      </c>
      <c r="B43" t="s">
        <v>227</v>
      </c>
      <c r="C43" s="10">
        <v>13121.676990556489</v>
      </c>
      <c r="D43" s="10">
        <v>18488114837769.328</v>
      </c>
      <c r="H43" s="11" t="s">
        <v>66</v>
      </c>
      <c r="I43" s="12" cm="1">
        <f t="array" ref="I43">_xlfn.XLOOKUP(UPPER(H43), UPPER($B$1:$B$268), $C$1:$C$268)</f>
        <v>9168.4541889714092</v>
      </c>
      <c r="J43" s="13" cm="1">
        <f t="array" ref="J43">_xlfn.XLOOKUP(UPPER(H43), UPPER($B$1:$B$268), $D$1:$D$268)</f>
        <v>104773032846.35954</v>
      </c>
      <c r="L43" t="s">
        <v>66</v>
      </c>
      <c r="M43">
        <v>9168.4541889714092</v>
      </c>
      <c r="N43">
        <v>104773032846.35954</v>
      </c>
      <c r="R43" s="27" t="s">
        <v>46</v>
      </c>
      <c r="S43" s="27">
        <f t="shared" si="0"/>
        <v>16374.773539623997</v>
      </c>
      <c r="T43" s="27">
        <f t="shared" si="1"/>
        <v>30557357896.857292</v>
      </c>
    </row>
    <row r="44" spans="1:20" x14ac:dyDescent="0.3">
      <c r="A44" t="s">
        <v>228</v>
      </c>
      <c r="B44" t="s">
        <v>228</v>
      </c>
      <c r="C44" s="10">
        <v>6863.5956319434217</v>
      </c>
      <c r="D44" s="10">
        <v>362990610076.17419</v>
      </c>
      <c r="H44" s="11" t="s">
        <v>82</v>
      </c>
      <c r="I44" s="12" cm="1">
        <f t="array" ref="I44">_xlfn.XLOOKUP(UPPER(H44), UPPER($B$1:$B$268), $C$1:$C$268)</f>
        <v>5999.3939106659254</v>
      </c>
      <c r="J44" s="13" cm="1">
        <f t="array" ref="J44">_xlfn.XLOOKUP(UPPER(H44), UPPER($B$1:$B$268), $D$1:$D$268)</f>
        <v>108801876280.21585</v>
      </c>
      <c r="L44" t="s">
        <v>82</v>
      </c>
      <c r="M44">
        <v>5999.3939106659254</v>
      </c>
      <c r="N44">
        <v>108801876280.21585</v>
      </c>
      <c r="R44" s="27" t="s">
        <v>47</v>
      </c>
      <c r="S44" s="27">
        <f t="shared" si="0"/>
        <v>16518.636993639651</v>
      </c>
      <c r="T44" s="27">
        <f t="shared" si="1"/>
        <v>157952280644.58694</v>
      </c>
    </row>
    <row r="45" spans="1:20" x14ac:dyDescent="0.3">
      <c r="A45" t="s">
        <v>229</v>
      </c>
      <c r="B45" t="s">
        <v>229</v>
      </c>
      <c r="C45" s="10">
        <v>1401.8889841155299</v>
      </c>
      <c r="D45" s="10">
        <v>1214916246.5260735</v>
      </c>
      <c r="H45" s="11" t="s">
        <v>230</v>
      </c>
      <c r="I45" s="12" cm="1">
        <f t="array" ref="I45">_xlfn.XLOOKUP(UPPER(H45), UPPER($B$1:$B$268), $C$1:$C$268)</f>
        <v>4137.6092923289816</v>
      </c>
      <c r="J45" s="13" cm="1">
        <f t="array" ref="J45">_xlfn.XLOOKUP(UPPER(H45), UPPER($B$1:$B$268), $D$1:$D$268)</f>
        <v>482189779212.63232</v>
      </c>
      <c r="L45" t="s">
        <v>108</v>
      </c>
      <c r="M45">
        <v>4137.6092923289816</v>
      </c>
      <c r="N45">
        <v>482189779212.63232</v>
      </c>
      <c r="R45" s="27" t="s">
        <v>48</v>
      </c>
      <c r="S45" s="27">
        <f t="shared" si="0"/>
        <v>17854.209101268534</v>
      </c>
      <c r="T45" s="27">
        <f t="shared" si="1"/>
        <v>69027943227.324402</v>
      </c>
    </row>
    <row r="46" spans="1:20" x14ac:dyDescent="0.3">
      <c r="A46" t="s">
        <v>231</v>
      </c>
      <c r="B46" s="14" t="s">
        <v>150</v>
      </c>
      <c r="C46" s="10">
        <v>554.24412998076605</v>
      </c>
      <c r="D46" s="10">
        <v>60565728422.472641</v>
      </c>
      <c r="H46" s="11" t="s">
        <v>93</v>
      </c>
      <c r="I46" s="12" cm="1">
        <f t="array" ref="I46">_xlfn.XLOOKUP(UPPER(H46), UPPER($B$1:$B$268), $C$1:$C$268)</f>
        <v>4585.2259975779452</v>
      </c>
      <c r="J46" s="13" cm="1">
        <f t="array" ref="J46">_xlfn.XLOOKUP(UPPER(H46), UPPER($B$1:$B$268), $D$1:$D$268)</f>
        <v>29062047321.266548</v>
      </c>
      <c r="L46" t="s">
        <v>93</v>
      </c>
      <c r="M46">
        <v>4585.2259975779452</v>
      </c>
      <c r="N46">
        <v>29062047321.266548</v>
      </c>
      <c r="R46" s="27" t="s">
        <v>49</v>
      </c>
      <c r="S46" s="27">
        <f t="shared" si="0"/>
        <v>18000.50345912854</v>
      </c>
      <c r="T46" s="27">
        <f t="shared" si="1"/>
        <v>658084600079.5863</v>
      </c>
    </row>
    <row r="47" spans="1:20" x14ac:dyDescent="0.3">
      <c r="A47" t="s">
        <v>232</v>
      </c>
      <c r="B47" s="14" t="s">
        <v>118</v>
      </c>
      <c r="C47" s="10">
        <v>1679.5806109770717</v>
      </c>
      <c r="D47" s="10">
        <v>10636718505.673967</v>
      </c>
      <c r="H47" s="11" t="s">
        <v>83</v>
      </c>
      <c r="I47" s="12" cm="1">
        <f t="array" ref="I47">_xlfn.XLOOKUP(UPPER(H47), UPPER($B$1:$B$268), $C$1:$C$268)</f>
        <v>5041.940385511728</v>
      </c>
      <c r="J47" s="13" cm="1">
        <f t="array" ref="J47">_xlfn.XLOOKUP(UPPER(H47), UPPER($B$1:$B$268), $D$1:$D$268)</f>
        <v>9541952850.6271133</v>
      </c>
      <c r="L47" t="s">
        <v>83</v>
      </c>
      <c r="M47">
        <v>5041.940385511728</v>
      </c>
      <c r="N47">
        <v>9541952850.6271133</v>
      </c>
      <c r="R47" s="27" t="s">
        <v>50</v>
      </c>
      <c r="S47" s="27">
        <f t="shared" si="0"/>
        <v>17347.291133905113</v>
      </c>
      <c r="T47" s="27">
        <f t="shared" si="1"/>
        <v>91620377320.782944</v>
      </c>
    </row>
    <row r="48" spans="1:20" x14ac:dyDescent="0.3">
      <c r="A48" t="s">
        <v>233</v>
      </c>
      <c r="B48" t="s">
        <v>233</v>
      </c>
      <c r="C48" s="10">
        <v>14866.58236761087</v>
      </c>
      <c r="D48" s="10">
        <v>76264229553.430679</v>
      </c>
      <c r="H48" s="11" t="s">
        <v>170</v>
      </c>
      <c r="I48" s="12" t="str" cm="1">
        <f t="array" ref="I48">_xlfn.XLOOKUP(UPPER(H48), UPPER($B$1:$B$268), $C$1:$C$268)</f>
        <v>..</v>
      </c>
      <c r="J48" s="13" t="str" cm="1">
        <f t="array" ref="J48">_xlfn.XLOOKUP(UPPER(H48), UPPER($B$1:$B$268), $D$1:$D$268)</f>
        <v>..</v>
      </c>
      <c r="L48" t="s">
        <v>170</v>
      </c>
      <c r="M48" t="s">
        <v>182</v>
      </c>
      <c r="N48" t="s">
        <v>182</v>
      </c>
      <c r="R48" s="27" t="s">
        <v>51</v>
      </c>
      <c r="S48" s="27">
        <f t="shared" si="0"/>
        <v>33034.957638933301</v>
      </c>
      <c r="T48" s="27">
        <f t="shared" si="1"/>
        <v>27454923839.268162</v>
      </c>
    </row>
    <row r="49" spans="1:20" x14ac:dyDescent="0.3">
      <c r="A49" t="s">
        <v>234</v>
      </c>
      <c r="B49" s="14" t="s">
        <v>219</v>
      </c>
      <c r="C49" s="10">
        <v>2395.676890892219</v>
      </c>
      <c r="D49" s="10">
        <v>76504096839.437027</v>
      </c>
      <c r="H49" s="11" t="s">
        <v>40</v>
      </c>
      <c r="I49" s="12" cm="1">
        <f t="array" ref="I49">_xlfn.XLOOKUP(UPPER(H49), UPPER($B$1:$B$268), $C$1:$C$268)</f>
        <v>20078.139762099312</v>
      </c>
      <c r="J49" s="13" cm="1">
        <f t="array" ref="J49">_xlfn.XLOOKUP(UPPER(H49), UPPER($B$1:$B$268), $D$1:$D$268)</f>
        <v>27554054399.259132</v>
      </c>
      <c r="L49" t="s">
        <v>40</v>
      </c>
      <c r="M49">
        <v>20078.139762099312</v>
      </c>
      <c r="N49">
        <v>27554054399.259132</v>
      </c>
      <c r="R49" s="27" t="s">
        <v>52</v>
      </c>
      <c r="S49" s="27">
        <f t="shared" si="0"/>
        <v>17122.720655566955</v>
      </c>
      <c r="T49" s="27">
        <f t="shared" si="1"/>
        <v>77318963569.703064</v>
      </c>
    </row>
    <row r="50" spans="1:20" x14ac:dyDescent="0.3">
      <c r="A50" t="s">
        <v>235</v>
      </c>
      <c r="B50" t="s">
        <v>235</v>
      </c>
      <c r="C50" s="10">
        <v>17854.209101268534</v>
      </c>
      <c r="D50" s="10">
        <v>69027943227.324402</v>
      </c>
      <c r="H50" s="11" t="s">
        <v>138</v>
      </c>
      <c r="I50" s="12" cm="1">
        <f t="array" ref="I50">_xlfn.XLOOKUP(UPPER(H50), UPPER($B$1:$B$268), $C$1:$C$268)</f>
        <v>883.45858861929116</v>
      </c>
      <c r="J50" s="13" cm="1">
        <f t="array" ref="J50">_xlfn.XLOOKUP(UPPER(H50), UPPER($B$1:$B$268), $D$1:$D$268)</f>
        <v>116669335367.21245</v>
      </c>
      <c r="L50" t="s">
        <v>138</v>
      </c>
      <c r="M50">
        <v>883.45858861929116</v>
      </c>
      <c r="N50">
        <v>116669335367.21245</v>
      </c>
      <c r="R50" s="27" t="s">
        <v>53</v>
      </c>
      <c r="S50" s="27">
        <f t="shared" si="0"/>
        <v>12459.911206189136</v>
      </c>
      <c r="T50" s="27">
        <f t="shared" si="1"/>
        <v>237383786157.71899</v>
      </c>
    </row>
    <row r="51" spans="1:20" x14ac:dyDescent="0.3">
      <c r="A51" t="s">
        <v>236</v>
      </c>
      <c r="B51" t="s">
        <v>236</v>
      </c>
      <c r="C51" s="10">
        <v>7381.3977404886891</v>
      </c>
      <c r="D51" s="10">
        <v>81046145427.256119</v>
      </c>
      <c r="H51" s="11" t="s">
        <v>22</v>
      </c>
      <c r="I51" s="12" cm="1">
        <f t="array" ref="I51">_xlfn.XLOOKUP(UPPER(H51), UPPER($B$1:$B$268), $C$1:$C$268)</f>
        <v>45254.035865891739</v>
      </c>
      <c r="J51" s="13" cm="1">
        <f t="array" ref="J51">_xlfn.XLOOKUP(UPPER(H51), UPPER($B$1:$B$268), $D$1:$D$268)</f>
        <v>254323653957.11951</v>
      </c>
      <c r="L51" t="s">
        <v>22</v>
      </c>
      <c r="M51">
        <v>45254.035865891739</v>
      </c>
      <c r="N51">
        <v>254323653957.11951</v>
      </c>
      <c r="R51" s="27" t="s">
        <v>54</v>
      </c>
      <c r="S51" s="27">
        <f t="shared" si="0"/>
        <v>14579.40010713071</v>
      </c>
      <c r="T51" s="27">
        <f t="shared" si="1"/>
        <v>288158504434.81396</v>
      </c>
    </row>
    <row r="52" spans="1:20" x14ac:dyDescent="0.3">
      <c r="A52" t="s">
        <v>237</v>
      </c>
      <c r="B52" t="s">
        <v>237</v>
      </c>
      <c r="C52" s="10">
        <v>18044.775186564813</v>
      </c>
      <c r="D52" s="10">
        <v>2814389451.5229545</v>
      </c>
      <c r="H52" s="11" t="s">
        <v>27</v>
      </c>
      <c r="I52" s="12" cm="1">
        <f t="array" ref="I52">_xlfn.XLOOKUP(UPPER(H52), UPPER($B$1:$B$268), $C$1:$C$268)</f>
        <v>39683.395348902937</v>
      </c>
      <c r="J52" s="13" cm="1">
        <f t="array" ref="J52">_xlfn.XLOOKUP(UPPER(H52), UPPER($B$1:$B$268), $D$1:$D$268)</f>
        <v>2720362347819.8081</v>
      </c>
      <c r="L52" t="s">
        <v>27</v>
      </c>
      <c r="M52">
        <v>39683.395348902937</v>
      </c>
      <c r="N52">
        <v>2720362347819.8081</v>
      </c>
      <c r="R52" s="27" t="s">
        <v>55</v>
      </c>
      <c r="S52" s="27">
        <f t="shared" si="0"/>
        <v>14866.58236761087</v>
      </c>
      <c r="T52" s="27">
        <f t="shared" si="1"/>
        <v>76264229553.430679</v>
      </c>
    </row>
    <row r="53" spans="1:20" x14ac:dyDescent="0.3">
      <c r="A53" t="s">
        <v>238</v>
      </c>
      <c r="B53" t="s">
        <v>238</v>
      </c>
      <c r="C53" s="10">
        <v>32617.216796875</v>
      </c>
      <c r="D53" s="10">
        <v>31740302544.146255</v>
      </c>
      <c r="G53" t="s">
        <v>205</v>
      </c>
      <c r="H53" s="11" t="s">
        <v>239</v>
      </c>
      <c r="I53" s="12" t="e" cm="1">
        <f t="array" ref="I53">_xlfn.XLOOKUP(UPPER(H53), UPPER($B$1:$B$268), $C$1:$C$268)</f>
        <v>#N/A</v>
      </c>
      <c r="J53" s="13" t="e" cm="1">
        <f t="array" ref="J53">_xlfn.XLOOKUP(UPPER(H53), UPPER($B$1:$B$268), $D$1:$D$268)</f>
        <v>#N/A</v>
      </c>
      <c r="L53" t="s">
        <v>163</v>
      </c>
      <c r="M53" t="e">
        <v>#N/A</v>
      </c>
      <c r="N53" t="e">
        <v>#N/A</v>
      </c>
      <c r="R53" s="27" t="s">
        <v>56</v>
      </c>
      <c r="S53" s="27">
        <f t="shared" si="0"/>
        <v>10126.898007570799</v>
      </c>
      <c r="T53" s="27">
        <f t="shared" si="1"/>
        <v>65231613490.824707</v>
      </c>
    </row>
    <row r="54" spans="1:20" x14ac:dyDescent="0.3">
      <c r="A54" t="s">
        <v>240</v>
      </c>
      <c r="B54" s="14" t="s">
        <v>224</v>
      </c>
      <c r="C54" s="10">
        <v>20445.432830126982</v>
      </c>
      <c r="D54" s="10">
        <v>222958017484.65396</v>
      </c>
      <c r="H54" s="11" t="s">
        <v>76</v>
      </c>
      <c r="I54" s="12" cm="1">
        <f t="array" ref="I54">_xlfn.XLOOKUP(UPPER(H54), UPPER($B$1:$B$268), $C$1:$C$268)</f>
        <v>6618.9868586588491</v>
      </c>
      <c r="J54" s="13" cm="1">
        <f t="array" ref="J54">_xlfn.XLOOKUP(UPPER(H54), UPPER($B$1:$B$268), $D$1:$D$268)</f>
        <v>16805289922.765602</v>
      </c>
      <c r="L54" t="s">
        <v>76</v>
      </c>
      <c r="M54">
        <v>6618.9868586588491</v>
      </c>
      <c r="N54">
        <v>16805289922.765602</v>
      </c>
      <c r="R54" s="27" t="s">
        <v>57</v>
      </c>
      <c r="S54" s="27">
        <f t="shared" si="0"/>
        <v>12774.350659662765</v>
      </c>
      <c r="T54" s="27">
        <f t="shared" si="1"/>
        <v>583738758865.70459</v>
      </c>
    </row>
    <row r="55" spans="1:20" x14ac:dyDescent="0.3">
      <c r="A55" t="s">
        <v>241</v>
      </c>
      <c r="B55" t="s">
        <v>241</v>
      </c>
      <c r="C55" s="10">
        <v>60772.862427604108</v>
      </c>
      <c r="D55" s="10">
        <v>363238912546.89032</v>
      </c>
      <c r="H55" s="11" t="s">
        <v>71</v>
      </c>
      <c r="I55" s="12" cm="1">
        <f t="array" ref="I55">_xlfn.XLOOKUP(UPPER(H55), UPPER($B$1:$B$268), $C$1:$C$268)</f>
        <v>6808.0739802598055</v>
      </c>
      <c r="J55" s="13" cm="1">
        <f t="array" ref="J55">_xlfn.XLOOKUP(UPPER(H55), UPPER($B$1:$B$268), $D$1:$D$268)</f>
        <v>25186857750.188026</v>
      </c>
      <c r="L55" t="s">
        <v>71</v>
      </c>
      <c r="M55">
        <v>6808.0739802598055</v>
      </c>
      <c r="N55">
        <v>25186857750.188026</v>
      </c>
      <c r="R55" s="27" t="s">
        <v>58</v>
      </c>
      <c r="S55" s="27">
        <f t="shared" si="0"/>
        <v>11043.259765625</v>
      </c>
      <c r="T55" s="27">
        <f t="shared" si="1"/>
        <v>1612344875264.3628</v>
      </c>
    </row>
    <row r="56" spans="1:20" x14ac:dyDescent="0.3">
      <c r="A56" t="s">
        <v>242</v>
      </c>
      <c r="B56" t="s">
        <v>242</v>
      </c>
      <c r="C56" s="10">
        <v>3290.4248205259801</v>
      </c>
      <c r="D56" s="10">
        <v>3845591877.0947642</v>
      </c>
      <c r="H56" s="11" t="s">
        <v>20</v>
      </c>
      <c r="I56" s="12" cm="1">
        <f t="array" ref="I56">_xlfn.XLOOKUP(UPPER(H56), UPPER($B$1:$B$268), $C$1:$C$268)</f>
        <v>44027.763155446919</v>
      </c>
      <c r="J56" s="13" cm="1">
        <f t="array" ref="J56">_xlfn.XLOOKUP(UPPER(H56), UPPER($B$1:$B$268), $D$1:$D$268)</f>
        <v>3677048776153.856</v>
      </c>
      <c r="L56" t="s">
        <v>20</v>
      </c>
      <c r="M56">
        <v>44027.763155446919</v>
      </c>
      <c r="N56">
        <v>3677048776153.856</v>
      </c>
      <c r="R56" s="27" t="s">
        <v>59</v>
      </c>
      <c r="S56" s="27">
        <f t="shared" si="0"/>
        <v>10316.461190221513</v>
      </c>
      <c r="T56" s="27">
        <f t="shared" si="1"/>
        <v>1350022500028.8057</v>
      </c>
    </row>
    <row r="57" spans="1:20" x14ac:dyDescent="0.3">
      <c r="A57" t="s">
        <v>243</v>
      </c>
      <c r="B57" t="s">
        <v>243</v>
      </c>
      <c r="C57" s="10">
        <v>9172.7104962479461</v>
      </c>
      <c r="D57" s="10">
        <v>607279298.40409529</v>
      </c>
      <c r="H57" s="11" t="s">
        <v>120</v>
      </c>
      <c r="I57" s="12" cm="1">
        <f t="array" ref="I57">_xlfn.XLOOKUP(UPPER(H57), UPPER($B$1:$B$268), $C$1:$C$268)</f>
        <v>2167.7269140667804</v>
      </c>
      <c r="J57" s="13" cm="1">
        <f t="array" ref="J57">_xlfn.XLOOKUP(UPPER(H57), UPPER($B$1:$B$268), $D$1:$D$268)</f>
        <v>74629231909.51947</v>
      </c>
      <c r="L57" t="s">
        <v>120</v>
      </c>
      <c r="M57">
        <v>2167.7269140667804</v>
      </c>
      <c r="N57">
        <v>74629231909.51947</v>
      </c>
      <c r="R57" s="27" t="s">
        <v>60</v>
      </c>
      <c r="S57" s="27">
        <f t="shared" si="0"/>
        <v>15395.027889489296</v>
      </c>
      <c r="T57" s="27">
        <f t="shared" si="1"/>
        <v>1316562171166.7805</v>
      </c>
    </row>
    <row r="58" spans="1:20" x14ac:dyDescent="0.3">
      <c r="A58" t="s">
        <v>244</v>
      </c>
      <c r="B58" t="s">
        <v>244</v>
      </c>
      <c r="C58" s="10">
        <v>9168.4541889714092</v>
      </c>
      <c r="D58" s="10">
        <v>104773032846.35954</v>
      </c>
      <c r="H58" s="11" t="s">
        <v>173</v>
      </c>
      <c r="I58" s="12" t="str" cm="1">
        <f t="array" ref="I58">_xlfn.XLOOKUP(UPPER(H58), UPPER($B$1:$B$268), $C$1:$C$268)</f>
        <v>..</v>
      </c>
      <c r="J58" s="13" t="str" cm="1">
        <f t="array" ref="J58">_xlfn.XLOOKUP(UPPER(H58), UPPER($B$1:$B$268), $D$1:$D$268)</f>
        <v>..</v>
      </c>
      <c r="L58" t="s">
        <v>173</v>
      </c>
      <c r="M58" t="s">
        <v>182</v>
      </c>
      <c r="N58" t="s">
        <v>182</v>
      </c>
      <c r="R58" s="27" t="s">
        <v>61</v>
      </c>
      <c r="S58" s="27">
        <f t="shared" si="0"/>
        <v>13121.676990556489</v>
      </c>
      <c r="T58" s="27">
        <f t="shared" si="1"/>
        <v>18488114837769.328</v>
      </c>
    </row>
    <row r="59" spans="1:20" x14ac:dyDescent="0.3">
      <c r="A59" t="s">
        <v>245</v>
      </c>
      <c r="B59" t="s">
        <v>245</v>
      </c>
      <c r="C59" s="10">
        <v>5999.3939106659254</v>
      </c>
      <c r="D59" s="10">
        <v>108801876280.21585</v>
      </c>
      <c r="H59" s="11" t="s">
        <v>44</v>
      </c>
      <c r="I59" s="12" cm="1">
        <f t="array" ref="I59">_xlfn.XLOOKUP(UPPER(H59), UPPER($B$1:$B$268), $C$1:$C$268)</f>
        <v>21494.685606059869</v>
      </c>
      <c r="J59" s="13" cm="1">
        <f t="array" ref="J59">_xlfn.XLOOKUP(UPPER(H59), UPPER($B$1:$B$268), $D$1:$D$268)</f>
        <v>223655084018.92416</v>
      </c>
      <c r="L59" t="s">
        <v>44</v>
      </c>
      <c r="M59">
        <v>21494.685606059869</v>
      </c>
      <c r="N59">
        <v>223655084018.92416</v>
      </c>
      <c r="R59" s="27" t="s">
        <v>62</v>
      </c>
      <c r="S59" s="27">
        <f t="shared" si="0"/>
        <v>11872.784262629844</v>
      </c>
      <c r="T59" s="27">
        <f t="shared" si="1"/>
        <v>244491152895.88773</v>
      </c>
    </row>
    <row r="60" spans="1:20" x14ac:dyDescent="0.3">
      <c r="A60" t="s">
        <v>246</v>
      </c>
      <c r="B60" s="14" t="s">
        <v>230</v>
      </c>
      <c r="C60" s="10">
        <v>4137.6092923289816</v>
      </c>
      <c r="D60" s="10">
        <v>482189779212.63232</v>
      </c>
      <c r="G60" t="s">
        <v>205</v>
      </c>
      <c r="H60" s="11" t="s">
        <v>247</v>
      </c>
      <c r="I60" s="12" t="e" cm="1">
        <f t="array" ref="I60">_xlfn.XLOOKUP(UPPER(H60), UPPER($B$1:$B$268), $C$1:$C$268)</f>
        <v>#N/A</v>
      </c>
      <c r="J60" s="13" t="e" cm="1">
        <f t="array" ref="J60">_xlfn.XLOOKUP(UPPER(H60), UPPER($B$1:$B$268), $D$1:$D$268)</f>
        <v>#N/A</v>
      </c>
      <c r="L60" t="s">
        <v>165</v>
      </c>
      <c r="M60" t="e">
        <v>#N/A</v>
      </c>
      <c r="N60" t="e">
        <v>#N/A</v>
      </c>
      <c r="R60" s="27" t="s">
        <v>63</v>
      </c>
      <c r="S60" s="27">
        <f t="shared" si="0"/>
        <v>8580.2610582325888</v>
      </c>
      <c r="T60" s="27">
        <f t="shared" si="1"/>
        <v>56513683533.783546</v>
      </c>
    </row>
    <row r="61" spans="1:20" x14ac:dyDescent="0.3">
      <c r="A61" t="s">
        <v>248</v>
      </c>
      <c r="B61" t="s">
        <v>248</v>
      </c>
      <c r="C61" s="10">
        <v>4585.2259975779452</v>
      </c>
      <c r="D61" s="10">
        <v>29062047321.266548</v>
      </c>
      <c r="H61" s="11" t="s">
        <v>90</v>
      </c>
      <c r="I61" s="12" cm="1">
        <f t="array" ref="I61">_xlfn.XLOOKUP(UPPER(H61), UPPER($B$1:$B$268), $C$1:$C$268)</f>
        <v>4563.09590652717</v>
      </c>
      <c r="J61" s="13" cm="1">
        <f t="array" ref="J61">_xlfn.XLOOKUP(UPPER(H61), UPPER($B$1:$B$268), $D$1:$D$268)</f>
        <v>83989981406.969528</v>
      </c>
      <c r="L61" t="s">
        <v>90</v>
      </c>
      <c r="M61">
        <v>4563.09590652717</v>
      </c>
      <c r="N61">
        <v>83989981406.969528</v>
      </c>
      <c r="R61" s="27" t="s">
        <v>64</v>
      </c>
      <c r="S61" s="27">
        <f t="shared" si="0"/>
        <v>8540.0082891312923</v>
      </c>
      <c r="T61" s="27">
        <f t="shared" si="1"/>
        <v>5324908668.4805889</v>
      </c>
    </row>
    <row r="62" spans="1:20" x14ac:dyDescent="0.3">
      <c r="A62" t="s">
        <v>249</v>
      </c>
      <c r="B62" t="s">
        <v>249</v>
      </c>
      <c r="C62" s="10">
        <v>5041.940385511728</v>
      </c>
      <c r="D62" s="10">
        <v>9541952850.6271133</v>
      </c>
      <c r="H62" s="11" t="s">
        <v>130</v>
      </c>
      <c r="I62" s="12" cm="1">
        <f t="array" ref="I62">_xlfn.XLOOKUP(UPPER(H62), UPPER($B$1:$B$268), $C$1:$C$268)</f>
        <v>1045.9220747581671</v>
      </c>
      <c r="J62" s="13" cm="1">
        <f t="array" ref="J62">_xlfn.XLOOKUP(UPPER(H62), UPPER($B$1:$B$268), $D$1:$D$268)</f>
        <v>15432355339.810682</v>
      </c>
      <c r="L62" t="s">
        <v>130</v>
      </c>
      <c r="M62">
        <v>1045.9220747581671</v>
      </c>
      <c r="N62">
        <v>15432355339.810682</v>
      </c>
      <c r="R62" s="27" t="s">
        <v>65</v>
      </c>
      <c r="S62" s="27">
        <f t="shared" si="0"/>
        <v>11883.791277489954</v>
      </c>
      <c r="T62" s="27">
        <f t="shared" si="1"/>
        <v>422559964245.24005</v>
      </c>
    </row>
    <row r="63" spans="1:20" x14ac:dyDescent="0.3">
      <c r="A63" t="s">
        <v>250</v>
      </c>
      <c r="B63" t="s">
        <v>250</v>
      </c>
      <c r="C63" s="10" t="s">
        <v>182</v>
      </c>
      <c r="D63" s="10" t="s">
        <v>182</v>
      </c>
      <c r="H63" s="11" t="s">
        <v>143</v>
      </c>
      <c r="I63" s="12" cm="1">
        <f t="array" ref="I63">_xlfn.XLOOKUP(UPPER(H63), UPPER($B$1:$B$268), $C$1:$C$268)</f>
        <v>793.69215767377864</v>
      </c>
      <c r="J63" s="13" cm="1">
        <f t="array" ref="J63">_xlfn.XLOOKUP(UPPER(H63), UPPER($B$1:$B$268), $D$1:$D$268)</f>
        <v>1747195818.6794879</v>
      </c>
      <c r="L63" t="s">
        <v>143</v>
      </c>
      <c r="M63">
        <v>793.69215767377864</v>
      </c>
      <c r="N63">
        <v>1747195818.6794879</v>
      </c>
      <c r="R63" s="27" t="s">
        <v>66</v>
      </c>
      <c r="S63" s="27">
        <f t="shared" si="0"/>
        <v>9168.4541889714092</v>
      </c>
      <c r="T63" s="27">
        <f t="shared" si="1"/>
        <v>104773032846.35954</v>
      </c>
    </row>
    <row r="64" spans="1:20" x14ac:dyDescent="0.3">
      <c r="A64" t="s">
        <v>251</v>
      </c>
      <c r="B64" t="s">
        <v>251</v>
      </c>
      <c r="C64" s="10">
        <v>20078.139762099312</v>
      </c>
      <c r="D64" s="10">
        <v>27554054399.259132</v>
      </c>
      <c r="H64" s="11" t="s">
        <v>51</v>
      </c>
      <c r="I64" s="12" cm="1">
        <f t="array" ref="I64">_xlfn.XLOOKUP(UPPER(H64), UPPER($B$1:$B$268), $C$1:$C$268)</f>
        <v>33034.957638933301</v>
      </c>
      <c r="J64" s="13" cm="1">
        <f t="array" ref="J64">_xlfn.XLOOKUP(UPPER(H64), UPPER($B$1:$B$268), $D$1:$D$268)</f>
        <v>27454923839.268162</v>
      </c>
      <c r="L64" t="s">
        <v>51</v>
      </c>
      <c r="M64">
        <v>33034.957638933301</v>
      </c>
      <c r="N64">
        <v>27454923839.268162</v>
      </c>
      <c r="R64" s="27" t="s">
        <v>67</v>
      </c>
      <c r="S64" s="27">
        <f t="shared" si="0"/>
        <v>9566.7440862837084</v>
      </c>
      <c r="T64" s="27">
        <f t="shared" si="1"/>
        <v>2028136094548.3352</v>
      </c>
    </row>
    <row r="65" spans="1:20" x14ac:dyDescent="0.3">
      <c r="A65" t="s">
        <v>252</v>
      </c>
      <c r="B65" s="14" t="s">
        <v>105</v>
      </c>
      <c r="C65" s="10">
        <v>3864.205505108393</v>
      </c>
      <c r="D65" s="10">
        <v>4802519614.2698231</v>
      </c>
      <c r="H65" s="11" t="s">
        <v>128</v>
      </c>
      <c r="I65" s="12" cm="1">
        <f t="array" ref="I65">_xlfn.XLOOKUP(UPPER(H65), UPPER($B$1:$B$268), $C$1:$C$268)</f>
        <v>1154.8730090988822</v>
      </c>
      <c r="J65" s="13" cm="1">
        <f t="array" ref="J65">_xlfn.XLOOKUP(UPPER(H65), UPPER($B$1:$B$268), $D$1:$D$268)</f>
        <v>13595808327.378111</v>
      </c>
      <c r="L65" t="s">
        <v>128</v>
      </c>
      <c r="M65">
        <v>1154.8730090988822</v>
      </c>
      <c r="N65">
        <v>13595808327.378111</v>
      </c>
      <c r="R65" s="27" t="s">
        <v>68</v>
      </c>
      <c r="S65" s="27">
        <f t="shared" si="0"/>
        <v>6549.2338741539725</v>
      </c>
      <c r="T65" s="27">
        <f t="shared" si="1"/>
        <v>15568367220.799885</v>
      </c>
    </row>
    <row r="66" spans="1:20" x14ac:dyDescent="0.3">
      <c r="A66" t="s">
        <v>253</v>
      </c>
      <c r="B66" t="s">
        <v>253</v>
      </c>
      <c r="C66" s="10">
        <v>883.45858861929116</v>
      </c>
      <c r="D66" s="10">
        <v>116669335367.21245</v>
      </c>
      <c r="H66" s="11" t="s">
        <v>110</v>
      </c>
      <c r="I66" s="12" cm="1">
        <f t="array" ref="I66">_xlfn.XLOOKUP(UPPER(H66), UPPER($B$1:$B$268), $C$1:$C$268)</f>
        <v>2573.3715999564797</v>
      </c>
      <c r="J66" s="13" cm="1">
        <f t="array" ref="J66">_xlfn.XLOOKUP(UPPER(H66), UPPER($B$1:$B$268), $D$1:$D$268)</f>
        <v>27858556649.763664</v>
      </c>
      <c r="L66" t="s">
        <v>110</v>
      </c>
      <c r="M66">
        <v>2573.3715999564797</v>
      </c>
      <c r="N66">
        <v>27858556649.763664</v>
      </c>
      <c r="R66" s="27" t="s">
        <v>69</v>
      </c>
      <c r="S66" s="27">
        <f t="shared" si="0"/>
        <v>6628.8468659403206</v>
      </c>
      <c r="T66" s="27">
        <f t="shared" si="1"/>
        <v>12093396439.500017</v>
      </c>
    </row>
    <row r="67" spans="1:20" x14ac:dyDescent="0.3">
      <c r="A67" t="s">
        <v>254</v>
      </c>
      <c r="B67" t="s">
        <v>254</v>
      </c>
      <c r="C67" s="10">
        <v>59257.644930709415</v>
      </c>
      <c r="D67" s="10">
        <v>3240267282.4561214</v>
      </c>
      <c r="H67" s="11" t="s">
        <v>47</v>
      </c>
      <c r="I67" s="12" cm="1">
        <f t="array" ref="I67">_xlfn.XLOOKUP(UPPER(H67), UPPER($B$1:$B$268), $C$1:$C$268)</f>
        <v>16518.636993639651</v>
      </c>
      <c r="J67" s="13" cm="1">
        <f t="array" ref="J67">_xlfn.XLOOKUP(UPPER(H67), UPPER($B$1:$B$268), $D$1:$D$268)</f>
        <v>157952280644.58694</v>
      </c>
      <c r="L67" t="s">
        <v>47</v>
      </c>
      <c r="M67">
        <v>16518.636993639651</v>
      </c>
      <c r="N67">
        <v>157952280644.58694</v>
      </c>
      <c r="R67" s="27" t="s">
        <v>70</v>
      </c>
      <c r="S67" s="27">
        <f t="shared" ref="S67:S130" si="2">VLOOKUP(R67,L:N,2,FALSE)</f>
        <v>6730.2682882420531</v>
      </c>
      <c r="T67" s="27">
        <f t="shared" ref="T67:T130" si="3">VLOOKUP(R67,L:N,3,FALSE)</f>
        <v>21296271621.874783</v>
      </c>
    </row>
    <row r="68" spans="1:20" x14ac:dyDescent="0.3">
      <c r="A68" t="s">
        <v>255</v>
      </c>
      <c r="B68" t="s">
        <v>255</v>
      </c>
      <c r="C68" s="10">
        <v>5935.2089650567332</v>
      </c>
      <c r="D68" s="10">
        <v>5512527123.4012527</v>
      </c>
      <c r="H68" s="11" t="s">
        <v>10</v>
      </c>
      <c r="I68" s="12" cm="1">
        <f t="array" ref="I68">_xlfn.XLOOKUP(UPPER(H68), UPPER($B$1:$B$268), $C$1:$C$268)</f>
        <v>59307.177775971351</v>
      </c>
      <c r="J68" s="13" cm="1">
        <f t="array" ref="J68">_xlfn.XLOOKUP(UPPER(H68), UPPER($B$1:$B$268), $D$1:$D$268)</f>
        <v>22922580053.479584</v>
      </c>
      <c r="L68" t="s">
        <v>10</v>
      </c>
      <c r="M68">
        <v>59307.177775971351</v>
      </c>
      <c r="N68">
        <v>22922580053.479584</v>
      </c>
      <c r="R68" s="27" t="s">
        <v>71</v>
      </c>
      <c r="S68" s="27">
        <f t="shared" si="2"/>
        <v>6808.0739802598055</v>
      </c>
      <c r="T68" s="27">
        <f t="shared" si="3"/>
        <v>25186857750.188026</v>
      </c>
    </row>
    <row r="69" spans="1:20" x14ac:dyDescent="0.3">
      <c r="A69" t="s">
        <v>256</v>
      </c>
      <c r="B69" t="s">
        <v>256</v>
      </c>
      <c r="C69" s="10">
        <v>45254.035865891739</v>
      </c>
      <c r="D69" s="10">
        <v>254323653957.11951</v>
      </c>
      <c r="H69" s="11" t="s">
        <v>117</v>
      </c>
      <c r="I69" s="12" cm="1">
        <f t="array" ref="I69">_xlfn.XLOOKUP(UPPER(H69), UPPER($B$1:$B$268), $C$1:$C$268)</f>
        <v>2396.9499921354404</v>
      </c>
      <c r="J69" s="13" cm="1">
        <f t="array" ref="J69">_xlfn.XLOOKUP(UPPER(H69), UPPER($B$1:$B$268), $D$1:$D$268)</f>
        <v>3477820532826.479</v>
      </c>
      <c r="L69" t="s">
        <v>117</v>
      </c>
      <c r="M69">
        <v>2396.9499921354404</v>
      </c>
      <c r="N69">
        <v>3477820532826.479</v>
      </c>
      <c r="R69" s="27" t="s">
        <v>72</v>
      </c>
      <c r="S69" s="27">
        <f t="shared" si="2"/>
        <v>5378.3179998168152</v>
      </c>
      <c r="T69" s="27">
        <f t="shared" si="3"/>
        <v>16315127652.444309</v>
      </c>
    </row>
    <row r="70" spans="1:20" x14ac:dyDescent="0.3">
      <c r="A70" t="s">
        <v>257</v>
      </c>
      <c r="B70" t="s">
        <v>257</v>
      </c>
      <c r="C70" s="10">
        <v>39683.395348902937</v>
      </c>
      <c r="D70" s="10">
        <v>2720362347819.8081</v>
      </c>
      <c r="H70" s="11" t="s">
        <v>96</v>
      </c>
      <c r="I70" s="12" cm="1">
        <f t="array" ref="I70">_xlfn.XLOOKUP(UPPER(H70), UPPER($B$1:$B$268), $C$1:$C$268)</f>
        <v>4367.8626662119123</v>
      </c>
      <c r="J70" s="13" cm="1">
        <f t="array" ref="J70">_xlfn.XLOOKUP(UPPER(H70), UPPER($B$1:$B$268), $D$1:$D$268)</f>
        <v>1238236350136.5586</v>
      </c>
      <c r="L70" t="s">
        <v>96</v>
      </c>
      <c r="M70">
        <v>4367.8626662119123</v>
      </c>
      <c r="N70">
        <v>1238236350136.5586</v>
      </c>
      <c r="R70" s="27" t="s">
        <v>73</v>
      </c>
      <c r="S70" s="27">
        <f t="shared" si="2"/>
        <v>6792.1318349556459</v>
      </c>
      <c r="T70" s="27">
        <f t="shared" si="3"/>
        <v>62030020167.739143</v>
      </c>
    </row>
    <row r="71" spans="1:20" x14ac:dyDescent="0.3">
      <c r="A71" t="s">
        <v>258</v>
      </c>
      <c r="B71" t="s">
        <v>258</v>
      </c>
      <c r="C71" s="10">
        <v>20846.651405999139</v>
      </c>
      <c r="D71" s="10">
        <v>5874732292.7703991</v>
      </c>
      <c r="H71" s="11" t="s">
        <v>259</v>
      </c>
      <c r="I71" s="12" cm="1">
        <f t="array" ref="I71">_xlfn.XLOOKUP(UPPER(H71), UPPER($B$1:$B$268), $C$1:$C$268)</f>
        <v>5834.4429693986294</v>
      </c>
      <c r="J71" s="13" cm="1">
        <f t="array" ref="J71">_xlfn.XLOOKUP(UPPER(H71), UPPER($B$1:$B$268), $D$1:$D$268)</f>
        <v>534246745197.83569</v>
      </c>
      <c r="L71" t="s">
        <v>95</v>
      </c>
      <c r="M71">
        <v>5834.4429693986294</v>
      </c>
      <c r="N71">
        <v>534246745197.83569</v>
      </c>
      <c r="R71" s="27" t="s">
        <v>74</v>
      </c>
      <c r="S71" s="27">
        <f t="shared" si="2"/>
        <v>6711.1940327252696</v>
      </c>
      <c r="T71" s="27">
        <f t="shared" si="3"/>
        <v>229642617310.30029</v>
      </c>
    </row>
    <row r="72" spans="1:20" x14ac:dyDescent="0.3">
      <c r="A72" t="s">
        <v>260</v>
      </c>
      <c r="B72" t="s">
        <v>260</v>
      </c>
      <c r="C72" s="10">
        <v>6618.9868586588491</v>
      </c>
      <c r="D72" s="10">
        <v>16805289922.765602</v>
      </c>
      <c r="H72" s="11" t="s">
        <v>88</v>
      </c>
      <c r="I72" s="12" cm="1">
        <f t="array" ref="I72">_xlfn.XLOOKUP(UPPER(H72), UPPER($B$1:$B$268), $C$1:$C$268)</f>
        <v>4180.2961947731728</v>
      </c>
      <c r="J72" s="13" cm="1">
        <f t="array" ref="J72">_xlfn.XLOOKUP(UPPER(H72), UPPER($B$1:$B$268), $D$1:$D$268)</f>
        <v>192469260104.18936</v>
      </c>
      <c r="L72" t="s">
        <v>88</v>
      </c>
      <c r="M72">
        <v>4180.2961947731728</v>
      </c>
      <c r="N72">
        <v>192469260104.18936</v>
      </c>
      <c r="R72" s="27" t="s">
        <v>75</v>
      </c>
      <c r="S72" s="27">
        <f t="shared" si="2"/>
        <v>6937.3318099026701</v>
      </c>
      <c r="T72" s="27">
        <f t="shared" si="3"/>
        <v>17489977781.886208</v>
      </c>
    </row>
    <row r="73" spans="1:20" x14ac:dyDescent="0.3">
      <c r="A73" t="s">
        <v>261</v>
      </c>
      <c r="B73" t="s">
        <v>261</v>
      </c>
      <c r="C73" s="10">
        <v>758.96588872906023</v>
      </c>
      <c r="D73" s="10">
        <v>2094736745.3015413</v>
      </c>
      <c r="H73" s="11" t="s">
        <v>6</v>
      </c>
      <c r="I73" s="12" cm="1">
        <f t="array" ref="I73">_xlfn.XLOOKUP(UPPER(H73), UPPER($B$1:$B$268), $C$1:$C$268)</f>
        <v>94474.987970706905</v>
      </c>
      <c r="J73" s="13" cm="1">
        <f t="array" ref="J73">_xlfn.XLOOKUP(UPPER(H73), UPPER($B$1:$B$268), $D$1:$D$268)</f>
        <v>509767195342.46063</v>
      </c>
      <c r="L73" t="s">
        <v>6</v>
      </c>
      <c r="M73">
        <v>94474.987970706905</v>
      </c>
      <c r="N73">
        <v>509767195342.46063</v>
      </c>
      <c r="R73" s="27" t="s">
        <v>76</v>
      </c>
      <c r="S73" s="27">
        <f t="shared" si="2"/>
        <v>6618.9868586588491</v>
      </c>
      <c r="T73" s="27">
        <f t="shared" si="3"/>
        <v>16805289922.765602</v>
      </c>
    </row>
    <row r="74" spans="1:20" x14ac:dyDescent="0.3">
      <c r="A74" t="s">
        <v>262</v>
      </c>
      <c r="B74" t="s">
        <v>262</v>
      </c>
      <c r="C74" s="10">
        <v>6808.0739802598055</v>
      </c>
      <c r="D74" s="10">
        <v>25186857750.188026</v>
      </c>
      <c r="H74" s="11" t="s">
        <v>23</v>
      </c>
      <c r="I74" s="12" cm="1">
        <f t="array" ref="I74">_xlfn.XLOOKUP(UPPER(H74), UPPER($B$1:$B$268), $C$1:$C$268)</f>
        <v>41845.166056752256</v>
      </c>
      <c r="J74" s="13" cm="1">
        <f t="array" ref="J74">_xlfn.XLOOKUP(UPPER(H74), UPPER($B$1:$B$268), $D$1:$D$268)</f>
        <v>417380424316.46967</v>
      </c>
      <c r="L74" t="s">
        <v>23</v>
      </c>
      <c r="M74">
        <v>41845.166056752256</v>
      </c>
      <c r="N74">
        <v>417380424316.46967</v>
      </c>
      <c r="R74" s="27" t="s">
        <v>77</v>
      </c>
      <c r="S74" s="27">
        <f t="shared" si="2"/>
        <v>6290.4929445274884</v>
      </c>
      <c r="T74" s="27">
        <f t="shared" si="3"/>
        <v>2623588473.3599687</v>
      </c>
    </row>
    <row r="75" spans="1:20" x14ac:dyDescent="0.3">
      <c r="A75" t="s">
        <v>263</v>
      </c>
      <c r="B75" t="s">
        <v>263</v>
      </c>
      <c r="C75" s="10">
        <v>44027.763155446919</v>
      </c>
      <c r="D75" s="10">
        <v>3677048776153.856</v>
      </c>
      <c r="H75" s="11" t="s">
        <v>29</v>
      </c>
      <c r="I75" s="12" cm="1">
        <f t="array" ref="I75">_xlfn.XLOOKUP(UPPER(H75), UPPER($B$1:$B$268), $C$1:$C$268)</f>
        <v>34495.254579963643</v>
      </c>
      <c r="J75" s="13" cm="1">
        <f t="array" ref="J75">_xlfn.XLOOKUP(UPPER(H75), UPPER($B$1:$B$268), $D$1:$D$268)</f>
        <v>2033588532657.241</v>
      </c>
      <c r="L75" t="s">
        <v>29</v>
      </c>
      <c r="M75">
        <v>34495.254579963643</v>
      </c>
      <c r="N75">
        <v>2033588532657.241</v>
      </c>
      <c r="R75" s="27" t="s">
        <v>78</v>
      </c>
      <c r="S75" s="27">
        <f t="shared" si="2"/>
        <v>6574.4610938798487</v>
      </c>
      <c r="T75" s="27">
        <f t="shared" si="3"/>
        <v>471178549995.25305</v>
      </c>
    </row>
    <row r="76" spans="1:20" x14ac:dyDescent="0.3">
      <c r="A76" t="s">
        <v>264</v>
      </c>
      <c r="B76" t="s">
        <v>264</v>
      </c>
      <c r="C76" s="10">
        <v>2167.7269140667804</v>
      </c>
      <c r="D76" s="10">
        <v>74629231909.51947</v>
      </c>
      <c r="H76" s="11" t="s">
        <v>34</v>
      </c>
      <c r="I76" s="12" cm="1">
        <f t="array" ref="I76">_xlfn.XLOOKUP(UPPER(H76), UPPER($B$1:$B$268), $C$1:$C$268)</f>
        <v>37152.563600355206</v>
      </c>
      <c r="J76" s="13" cm="1">
        <f t="array" ref="J76">_xlfn.XLOOKUP(UPPER(H76), UPPER($B$1:$B$268), $D$1:$D$268)</f>
        <v>4606002855955.1328</v>
      </c>
      <c r="L76" t="s">
        <v>34</v>
      </c>
      <c r="M76">
        <v>37152.563600355206</v>
      </c>
      <c r="N76">
        <v>4606002855955.1328</v>
      </c>
      <c r="R76" s="27" t="s">
        <v>79</v>
      </c>
      <c r="S76" s="27">
        <f t="shared" si="2"/>
        <v>5871.143732519522</v>
      </c>
      <c r="T76" s="27">
        <f t="shared" si="3"/>
        <v>59902281408.462158</v>
      </c>
    </row>
    <row r="77" spans="1:20" x14ac:dyDescent="0.3">
      <c r="A77" t="s">
        <v>265</v>
      </c>
      <c r="B77" t="s">
        <v>265</v>
      </c>
      <c r="C77" s="10" t="s">
        <v>182</v>
      </c>
      <c r="D77" s="10" t="s">
        <v>182</v>
      </c>
      <c r="H77" s="11" t="s">
        <v>97</v>
      </c>
      <c r="I77" s="12" cm="1">
        <f t="array" ref="I77">_xlfn.XLOOKUP(UPPER(H77), UPPER($B$1:$B$268), $C$1:$C$268)</f>
        <v>4016.834291432961</v>
      </c>
      <c r="J77" s="13" cm="1">
        <f t="array" ref="J77">_xlfn.XLOOKUP(UPPER(H77), UPPER($B$1:$B$268), $D$1:$D$268)</f>
        <v>46405988481.472862</v>
      </c>
      <c r="L77" t="s">
        <v>97</v>
      </c>
      <c r="M77">
        <v>4016.834291432961</v>
      </c>
      <c r="N77">
        <v>46405988481.472862</v>
      </c>
      <c r="R77" s="27" t="s">
        <v>80</v>
      </c>
      <c r="S77" s="27">
        <f t="shared" si="2"/>
        <v>6863.5956319434217</v>
      </c>
      <c r="T77" s="27">
        <f t="shared" si="3"/>
        <v>362990610076.17419</v>
      </c>
    </row>
    <row r="78" spans="1:20" x14ac:dyDescent="0.3">
      <c r="A78" t="s">
        <v>266</v>
      </c>
      <c r="B78" t="s">
        <v>266</v>
      </c>
      <c r="C78" s="10">
        <v>21494.685606059869</v>
      </c>
      <c r="D78" s="10">
        <v>223655084018.92416</v>
      </c>
      <c r="H78" s="11" t="s">
        <v>62</v>
      </c>
      <c r="I78" s="12" cm="1">
        <f t="array" ref="I78">_xlfn.XLOOKUP(UPPER(H78), UPPER($B$1:$B$268), $C$1:$C$268)</f>
        <v>11872.784262629844</v>
      </c>
      <c r="J78" s="13" cm="1">
        <f t="array" ref="J78">_xlfn.XLOOKUP(UPPER(H78), UPPER($B$1:$B$268), $D$1:$D$268)</f>
        <v>244491152895.88773</v>
      </c>
      <c r="L78" t="s">
        <v>62</v>
      </c>
      <c r="M78">
        <v>11872.784262629844</v>
      </c>
      <c r="N78">
        <v>244491152895.88773</v>
      </c>
      <c r="R78" s="27" t="s">
        <v>81</v>
      </c>
      <c r="S78" s="27">
        <f t="shared" si="2"/>
        <v>3851.5120251834664</v>
      </c>
      <c r="T78" s="27">
        <f t="shared" si="3"/>
        <v>9252510447.170393</v>
      </c>
    </row>
    <row r="79" spans="1:20" x14ac:dyDescent="0.3">
      <c r="A79" t="s">
        <v>267</v>
      </c>
      <c r="B79" t="s">
        <v>267</v>
      </c>
      <c r="C79" s="10" t="s">
        <v>182</v>
      </c>
      <c r="D79" s="10" t="s">
        <v>182</v>
      </c>
      <c r="H79" s="11" t="s">
        <v>126</v>
      </c>
      <c r="I79" s="12" cm="1">
        <f t="array" ref="I79">_xlfn.XLOOKUP(UPPER(H79), UPPER($B$1:$B$268), $C$1:$C$268)</f>
        <v>1860.0228704777599</v>
      </c>
      <c r="J79" s="13" cm="1">
        <f t="array" ref="J79">_xlfn.XLOOKUP(UPPER(H79), UPPER($B$1:$B$268), $D$1:$D$268)</f>
        <v>104966566488.39067</v>
      </c>
      <c r="L79" t="s">
        <v>126</v>
      </c>
      <c r="M79">
        <v>1860.0228704777599</v>
      </c>
      <c r="N79">
        <v>104966566488.39067</v>
      </c>
      <c r="R79" s="27" t="s">
        <v>82</v>
      </c>
      <c r="S79" s="27">
        <f t="shared" si="2"/>
        <v>5999.3939106659254</v>
      </c>
      <c r="T79" s="27">
        <f t="shared" si="3"/>
        <v>108801876280.21585</v>
      </c>
    </row>
    <row r="80" spans="1:20" x14ac:dyDescent="0.3">
      <c r="A80" t="s">
        <v>268</v>
      </c>
      <c r="B80" t="s">
        <v>268</v>
      </c>
      <c r="C80" s="10">
        <v>10196.004987243356</v>
      </c>
      <c r="D80" s="10">
        <v>1195043156.5398319</v>
      </c>
      <c r="H80" s="11" t="s">
        <v>32</v>
      </c>
      <c r="I80" s="12" cm="1">
        <f t="array" ref="I80">_xlfn.XLOOKUP(UPPER(H80), UPPER($B$1:$B$268), $C$1:$C$268)</f>
        <v>37048.42640014959</v>
      </c>
      <c r="J80" s="13" cm="1">
        <f t="array" ref="J80">_xlfn.XLOOKUP(UPPER(H80), UPPER($B$1:$B$268), $D$1:$D$268)</f>
        <v>1917295522781.8574</v>
      </c>
      <c r="L80" t="s">
        <v>32</v>
      </c>
      <c r="M80">
        <v>37048.42640014959</v>
      </c>
      <c r="N80">
        <v>1917295522781.8574</v>
      </c>
      <c r="R80" s="27" t="s">
        <v>83</v>
      </c>
      <c r="S80" s="27">
        <f t="shared" si="2"/>
        <v>5041.940385511728</v>
      </c>
      <c r="T80" s="27">
        <f t="shared" si="3"/>
        <v>9541952850.6271133</v>
      </c>
    </row>
    <row r="81" spans="1:20" x14ac:dyDescent="0.3">
      <c r="A81" t="s">
        <v>269</v>
      </c>
      <c r="B81" t="s">
        <v>269</v>
      </c>
      <c r="C81" s="10" t="s">
        <v>182</v>
      </c>
      <c r="D81" s="10" t="s">
        <v>182</v>
      </c>
      <c r="H81" s="11" t="s">
        <v>161</v>
      </c>
      <c r="I81" s="12" t="str" cm="1">
        <f t="array" ref="I81">_xlfn.XLOOKUP(UPPER(H81), UPPER($B$1:$B$268), $C$1:$C$268)</f>
        <v>..</v>
      </c>
      <c r="J81" s="13" t="str" cm="1">
        <f t="array" ref="J81">_xlfn.XLOOKUP(UPPER(H81), UPPER($B$1:$B$268), $D$1:$D$268)</f>
        <v>..</v>
      </c>
      <c r="L81" t="s">
        <v>161</v>
      </c>
      <c r="M81" t="s">
        <v>182</v>
      </c>
      <c r="N81" t="s">
        <v>182</v>
      </c>
      <c r="R81" s="27" t="s">
        <v>84</v>
      </c>
      <c r="S81" s="27">
        <f t="shared" si="2"/>
        <v>6640.8381661311678</v>
      </c>
      <c r="T81" s="27">
        <f t="shared" si="3"/>
        <v>46015383701.362282</v>
      </c>
    </row>
    <row r="82" spans="1:20" x14ac:dyDescent="0.3">
      <c r="A82" t="s">
        <v>270</v>
      </c>
      <c r="B82" t="s">
        <v>270</v>
      </c>
      <c r="C82" s="10">
        <v>4563.09590652717</v>
      </c>
      <c r="D82" s="10">
        <v>83989981406.969528</v>
      </c>
      <c r="H82" s="11" t="s">
        <v>33</v>
      </c>
      <c r="I82" s="12" cm="1">
        <f t="array" ref="I82">_xlfn.XLOOKUP(UPPER(H82), UPPER($B$1:$B$268), $C$1:$C$268)</f>
        <v>23867.82650029497</v>
      </c>
      <c r="J82" s="13" cm="1">
        <f t="array" ref="J82">_xlfn.XLOOKUP(UPPER(H82), UPPER($B$1:$B$268), $D$1:$D$268)</f>
        <v>116887023610.31404</v>
      </c>
      <c r="L82" t="s">
        <v>33</v>
      </c>
      <c r="M82">
        <v>23867.82650029497</v>
      </c>
      <c r="N82">
        <v>116887023610.31404</v>
      </c>
      <c r="R82" s="27" t="s">
        <v>85</v>
      </c>
      <c r="S82" s="27">
        <f t="shared" si="2"/>
        <v>8231.4954426365894</v>
      </c>
      <c r="T82" s="27">
        <f t="shared" si="3"/>
        <v>61690926131.84903</v>
      </c>
    </row>
    <row r="83" spans="1:20" x14ac:dyDescent="0.3">
      <c r="A83" t="s">
        <v>271</v>
      </c>
      <c r="B83" t="s">
        <v>271</v>
      </c>
      <c r="C83" s="10">
        <v>1045.9220747581671</v>
      </c>
      <c r="D83" s="10">
        <v>15432355339.810682</v>
      </c>
      <c r="H83" s="11" t="s">
        <v>272</v>
      </c>
      <c r="I83" s="12" cm="1">
        <f t="array" ref="I83">_xlfn.XLOOKUP(UPPER(H83), UPPER($B$1:$B$268), $C$1:$C$268)</f>
        <v>1391.6840432992863</v>
      </c>
      <c r="J83" s="13" cm="1">
        <f t="array" ref="J83">_xlfn.XLOOKUP(UPPER(H83), UPPER($B$1:$B$268), $D$1:$D$268)</f>
        <v>10050558458.413731</v>
      </c>
      <c r="L83" t="s">
        <v>123</v>
      </c>
      <c r="M83">
        <v>1391.6840432992863</v>
      </c>
      <c r="N83">
        <v>10050558458.413731</v>
      </c>
      <c r="R83" s="27" t="s">
        <v>86</v>
      </c>
      <c r="S83" s="27">
        <f t="shared" si="2"/>
        <v>5715.4753146914782</v>
      </c>
      <c r="T83" s="27">
        <f t="shared" si="3"/>
        <v>365831497261.34131</v>
      </c>
    </row>
    <row r="84" spans="1:20" x14ac:dyDescent="0.3">
      <c r="A84" t="s">
        <v>273</v>
      </c>
      <c r="B84" t="s">
        <v>273</v>
      </c>
      <c r="C84" s="10">
        <v>793.69215767377864</v>
      </c>
      <c r="D84" s="10">
        <v>1747195818.6794879</v>
      </c>
      <c r="H84" s="11" t="s">
        <v>274</v>
      </c>
      <c r="I84" s="12" cm="1">
        <f t="array" ref="I84">_xlfn.XLOOKUP(UPPER(H84), UPPER($B$1:$B$268), $C$1:$C$268)</f>
        <v>2721.0781066308214</v>
      </c>
      <c r="J84" s="13" cm="1">
        <f t="array" ref="J84">_xlfn.XLOOKUP(UPPER(H84), UPPER($B$1:$B$268), $D$1:$D$268)</f>
        <v>21142284373.384182</v>
      </c>
      <c r="L84" t="s">
        <v>125</v>
      </c>
      <c r="M84">
        <v>2721.0781066308214</v>
      </c>
      <c r="N84">
        <v>21142284373.384182</v>
      </c>
      <c r="R84" s="27" t="s">
        <v>87</v>
      </c>
      <c r="S84" s="27">
        <f t="shared" si="2"/>
        <v>7696.0807819319025</v>
      </c>
      <c r="T84" s="27">
        <f t="shared" si="3"/>
        <v>56804949261.297356</v>
      </c>
    </row>
    <row r="85" spans="1:20" x14ac:dyDescent="0.3">
      <c r="A85" t="s">
        <v>275</v>
      </c>
      <c r="B85" t="s">
        <v>275</v>
      </c>
      <c r="C85" s="10">
        <v>33034.957638933301</v>
      </c>
      <c r="D85" s="10">
        <v>27454923839.268162</v>
      </c>
      <c r="H85" s="11" t="s">
        <v>46</v>
      </c>
      <c r="I85" s="12" cm="1">
        <f t="array" ref="I85">_xlfn.XLOOKUP(UPPER(H85), UPPER($B$1:$B$268), $C$1:$C$268)</f>
        <v>16374.773539623997</v>
      </c>
      <c r="J85" s="13" cm="1">
        <f t="array" ref="J85">_xlfn.XLOOKUP(UPPER(H85), UPPER($B$1:$B$268), $D$1:$D$268)</f>
        <v>30557357896.857292</v>
      </c>
      <c r="L85" t="s">
        <v>46</v>
      </c>
      <c r="M85">
        <v>16374.773539623997</v>
      </c>
      <c r="N85">
        <v>30557357896.857292</v>
      </c>
      <c r="R85" s="27" t="s">
        <v>88</v>
      </c>
      <c r="S85" s="27">
        <f t="shared" si="2"/>
        <v>4180.2961947731728</v>
      </c>
      <c r="T85" s="27">
        <f t="shared" si="3"/>
        <v>192469260104.18936</v>
      </c>
    </row>
    <row r="86" spans="1:20" x14ac:dyDescent="0.3">
      <c r="A86" t="s">
        <v>276</v>
      </c>
      <c r="B86" t="s">
        <v>276</v>
      </c>
      <c r="C86" s="10">
        <v>1154.8730090988822</v>
      </c>
      <c r="D86" s="10">
        <v>13595808327.378111</v>
      </c>
      <c r="H86" s="11" t="s">
        <v>107</v>
      </c>
      <c r="I86" s="12" t="str" cm="1">
        <f t="array" ref="I86">_xlfn.XLOOKUP(UPPER(H86), UPPER($B$1:$B$268), $C$1:$C$268)</f>
        <v>..</v>
      </c>
      <c r="J86" s="13" t="str" cm="1">
        <f t="array" ref="J86">_xlfn.XLOOKUP(UPPER(H86), UPPER($B$1:$B$268), $D$1:$D$268)</f>
        <v>..</v>
      </c>
      <c r="L86" t="s">
        <v>107</v>
      </c>
      <c r="M86" t="s">
        <v>182</v>
      </c>
      <c r="N86" t="s">
        <v>182</v>
      </c>
      <c r="R86" s="27" t="s">
        <v>89</v>
      </c>
      <c r="S86" s="27">
        <f t="shared" si="2"/>
        <v>4626.796096442431</v>
      </c>
      <c r="T86" s="27">
        <f t="shared" si="3"/>
        <v>16308475359.187122</v>
      </c>
    </row>
    <row r="87" spans="1:20" x14ac:dyDescent="0.3">
      <c r="A87" t="s">
        <v>277</v>
      </c>
      <c r="B87" t="s">
        <v>277</v>
      </c>
      <c r="C87" s="10">
        <v>2573.3715999564797</v>
      </c>
      <c r="D87" s="10">
        <v>27858556649.763664</v>
      </c>
      <c r="H87" s="11" t="s">
        <v>145</v>
      </c>
      <c r="I87" s="12" cm="1">
        <f t="array" ref="I87">_xlfn.XLOOKUP(UPPER(H87), UPPER($B$1:$B$268), $C$1:$C$268)</f>
        <v>991.069661910744</v>
      </c>
      <c r="J87" s="13" cm="1">
        <f t="array" ref="J87">_xlfn.XLOOKUP(UPPER(H87), UPPER($B$1:$B$268), $D$1:$D$268)</f>
        <v>2316549022.352397</v>
      </c>
      <c r="L87" t="s">
        <v>145</v>
      </c>
      <c r="M87">
        <v>991.069661910744</v>
      </c>
      <c r="N87">
        <v>2316549022.352397</v>
      </c>
      <c r="R87" s="27" t="s">
        <v>90</v>
      </c>
      <c r="S87" s="27">
        <f t="shared" si="2"/>
        <v>4563.09590652717</v>
      </c>
      <c r="T87" s="27">
        <f t="shared" si="3"/>
        <v>83989981406.969528</v>
      </c>
    </row>
    <row r="88" spans="1:20" x14ac:dyDescent="0.3">
      <c r="A88" t="s">
        <v>278</v>
      </c>
      <c r="B88" t="s">
        <v>278</v>
      </c>
      <c r="C88" s="10">
        <v>44712.765472553176</v>
      </c>
      <c r="D88" s="10">
        <v>336423318692.03735</v>
      </c>
      <c r="H88" s="11" t="s">
        <v>147</v>
      </c>
      <c r="I88" s="12" cm="1">
        <f t="array" ref="I88">_xlfn.XLOOKUP(UPPER(H88), UPPER($B$1:$B$268), $C$1:$C$268)</f>
        <v>665.10133762419207</v>
      </c>
      <c r="J88" s="13" cm="1">
        <f t="array" ref="J88">_xlfn.XLOOKUP(UPPER(H88), UPPER($B$1:$B$268), $D$1:$D$268)</f>
        <v>3733092094.5398049</v>
      </c>
      <c r="L88" t="s">
        <v>147</v>
      </c>
      <c r="M88">
        <v>665.10133762419207</v>
      </c>
      <c r="N88">
        <v>3733092094.5398049</v>
      </c>
      <c r="R88" s="27" t="s">
        <v>91</v>
      </c>
      <c r="S88" s="27">
        <f t="shared" si="2"/>
        <v>7246.2576795921004</v>
      </c>
      <c r="T88" s="27">
        <f t="shared" si="3"/>
        <v>4597250505.9212961</v>
      </c>
    </row>
    <row r="89" spans="1:20" x14ac:dyDescent="0.3">
      <c r="A89" t="s">
        <v>279</v>
      </c>
      <c r="B89" t="s">
        <v>279</v>
      </c>
      <c r="C89" s="10">
        <v>16518.636993639651</v>
      </c>
      <c r="D89" s="10">
        <v>157952280644.58694</v>
      </c>
      <c r="H89" s="11" t="s">
        <v>87</v>
      </c>
      <c r="I89" s="12" cm="1">
        <f t="array" ref="I89">_xlfn.XLOOKUP(UPPER(H89), UPPER($B$1:$B$268), $C$1:$C$268)</f>
        <v>7696.0807819319025</v>
      </c>
      <c r="J89" s="13" cm="1">
        <f t="array" ref="J89">_xlfn.XLOOKUP(UPPER(H89), UPPER($B$1:$B$268), $D$1:$D$268)</f>
        <v>56804949261.297356</v>
      </c>
      <c r="L89" t="s">
        <v>87</v>
      </c>
      <c r="M89">
        <v>7696.0807819319025</v>
      </c>
      <c r="N89">
        <v>56804949261.297356</v>
      </c>
      <c r="R89" s="27" t="s">
        <v>92</v>
      </c>
      <c r="S89" s="27">
        <f t="shared" si="2"/>
        <v>4765.7290016838651</v>
      </c>
      <c r="T89" s="27">
        <f t="shared" si="3"/>
        <v>223104305329.36099</v>
      </c>
    </row>
    <row r="90" spans="1:20" x14ac:dyDescent="0.3">
      <c r="A90" t="s">
        <v>280</v>
      </c>
      <c r="B90" t="s">
        <v>280</v>
      </c>
      <c r="C90" s="10">
        <v>59307.177775971351</v>
      </c>
      <c r="D90" s="10">
        <v>22922580053.479584</v>
      </c>
      <c r="H90" s="11" t="s">
        <v>41</v>
      </c>
      <c r="I90" s="12" cm="1">
        <f t="array" ref="I90">_xlfn.XLOOKUP(UPPER(H90), UPPER($B$1:$B$268), $C$1:$C$268)</f>
        <v>19092.645117695487</v>
      </c>
      <c r="J90" s="13" cm="1">
        <f t="array" ref="J90">_xlfn.XLOOKUP(UPPER(H90), UPPER($B$1:$B$268), $D$1:$D$268)</f>
        <v>55144866855.247284</v>
      </c>
      <c r="L90" t="s">
        <v>41</v>
      </c>
      <c r="M90">
        <v>19092.645117695487</v>
      </c>
      <c r="N90">
        <v>55144866855.247284</v>
      </c>
      <c r="R90" s="27" t="s">
        <v>93</v>
      </c>
      <c r="S90" s="27">
        <f t="shared" si="2"/>
        <v>4585.2259975779452</v>
      </c>
      <c r="T90" s="27">
        <f t="shared" si="3"/>
        <v>29062047321.266548</v>
      </c>
    </row>
    <row r="91" spans="1:20" x14ac:dyDescent="0.3">
      <c r="A91" t="s">
        <v>281</v>
      </c>
      <c r="B91" t="s">
        <v>281</v>
      </c>
      <c r="C91" s="10">
        <v>2396.9499921354404</v>
      </c>
      <c r="D91" s="10">
        <v>3477820532826.479</v>
      </c>
      <c r="H91" s="11" t="s">
        <v>5</v>
      </c>
      <c r="I91" s="12" cm="1">
        <f t="array" ref="I91">_xlfn.XLOOKUP(UPPER(H91), UPPER($B$1:$B$268), $C$1:$C$268)</f>
        <v>104147.17399280037</v>
      </c>
      <c r="J91" s="13" cm="1">
        <f t="array" ref="J91">_xlfn.XLOOKUP(UPPER(H91), UPPER($B$1:$B$268), $D$1:$D$268)</f>
        <v>70508886559.21376</v>
      </c>
      <c r="L91" t="s">
        <v>5</v>
      </c>
      <c r="M91">
        <v>104147.17399280037</v>
      </c>
      <c r="N91">
        <v>70508886559.21376</v>
      </c>
      <c r="R91" s="27" t="s">
        <v>94</v>
      </c>
      <c r="S91" s="27">
        <f t="shared" si="2"/>
        <v>2219.04248046875</v>
      </c>
      <c r="T91" s="27">
        <f t="shared" si="3"/>
        <v>78535131747.32251</v>
      </c>
    </row>
    <row r="92" spans="1:20" x14ac:dyDescent="0.3">
      <c r="A92" t="s">
        <v>282</v>
      </c>
      <c r="B92" t="s">
        <v>282</v>
      </c>
      <c r="C92" s="10">
        <v>4367.8626662119123</v>
      </c>
      <c r="D92" s="10">
        <v>1238236350136.5586</v>
      </c>
      <c r="H92" s="11" t="s">
        <v>283</v>
      </c>
      <c r="I92" s="12" cm="1">
        <f t="array" ref="I92">_xlfn.XLOOKUP(UPPER(H92), UPPER($B$1:$B$268), $C$1:$C$268)</f>
        <v>6628.8468659403206</v>
      </c>
      <c r="J92" s="13" cm="1">
        <f t="array" ref="J92">_xlfn.XLOOKUP(UPPER(H92), UPPER($B$1:$B$268), $D$1:$D$268)</f>
        <v>12093396439.500017</v>
      </c>
      <c r="L92" t="s">
        <v>69</v>
      </c>
      <c r="M92">
        <v>6628.8468659403206</v>
      </c>
      <c r="N92">
        <v>12093396439.500017</v>
      </c>
      <c r="R92" s="27" t="s">
        <v>95</v>
      </c>
      <c r="S92" s="27">
        <f t="shared" si="2"/>
        <v>5834.4429693986294</v>
      </c>
      <c r="T92" s="27">
        <f t="shared" si="3"/>
        <v>534246745197.83569</v>
      </c>
    </row>
    <row r="93" spans="1:20" x14ac:dyDescent="0.3">
      <c r="A93" t="s">
        <v>284</v>
      </c>
      <c r="B93" s="14" t="s">
        <v>95</v>
      </c>
      <c r="C93" s="10">
        <v>5834.4429693986294</v>
      </c>
      <c r="D93" s="10">
        <v>534246745197.83569</v>
      </c>
      <c r="H93" s="11" t="s">
        <v>155</v>
      </c>
      <c r="I93" s="12" cm="1">
        <f t="array" ref="I93">_xlfn.XLOOKUP(UPPER(H93), UPPER($B$1:$B$268), $C$1:$C$268)</f>
        <v>453.38306700477222</v>
      </c>
      <c r="J93" s="13" cm="1">
        <f t="array" ref="J93">_xlfn.XLOOKUP(UPPER(H93), UPPER($B$1:$B$268), $D$1:$D$268)</f>
        <v>14492369787.952595</v>
      </c>
      <c r="L93" t="s">
        <v>155</v>
      </c>
      <c r="M93">
        <v>453.38306700477222</v>
      </c>
      <c r="N93">
        <v>14492369787.952595</v>
      </c>
      <c r="R93" s="27" t="s">
        <v>96</v>
      </c>
      <c r="S93" s="27">
        <f t="shared" si="2"/>
        <v>4367.8626662119123</v>
      </c>
      <c r="T93" s="27">
        <f t="shared" si="3"/>
        <v>1238236350136.5586</v>
      </c>
    </row>
    <row r="94" spans="1:20" x14ac:dyDescent="0.3">
      <c r="A94" t="s">
        <v>285</v>
      </c>
      <c r="B94" t="s">
        <v>285</v>
      </c>
      <c r="C94" s="10">
        <v>4180.2961947731728</v>
      </c>
      <c r="D94" s="10">
        <v>192469260104.18936</v>
      </c>
      <c r="G94" t="s">
        <v>286</v>
      </c>
      <c r="H94" s="11" t="s">
        <v>287</v>
      </c>
      <c r="I94" s="12" t="e" cm="1">
        <f t="array" ref="I94">_xlfn.XLOOKUP(UPPER(H94), UPPER($B$1:$B$268), $C$1:$C$268)</f>
        <v>#N/A</v>
      </c>
      <c r="J94" s="13" t="e" cm="1">
        <f t="array" ref="J94">_xlfn.XLOOKUP(UPPER(H94), UPPER($B$1:$B$268), $D$1:$D$268)</f>
        <v>#N/A</v>
      </c>
      <c r="L94" t="s">
        <v>168</v>
      </c>
      <c r="M94" t="e">
        <v>#N/A</v>
      </c>
      <c r="N94" t="e">
        <v>#N/A</v>
      </c>
      <c r="R94" s="27" t="s">
        <v>97</v>
      </c>
      <c r="S94" s="27">
        <f t="shared" si="2"/>
        <v>4016.834291432961</v>
      </c>
      <c r="T94" s="27">
        <f t="shared" si="3"/>
        <v>46405988481.472862</v>
      </c>
    </row>
    <row r="95" spans="1:20" x14ac:dyDescent="0.3">
      <c r="A95" t="s">
        <v>288</v>
      </c>
      <c r="B95" t="s">
        <v>288</v>
      </c>
      <c r="C95" s="10">
        <v>94474.987970706905</v>
      </c>
      <c r="D95" s="10">
        <v>509767195342.46063</v>
      </c>
      <c r="H95" s="11" t="s">
        <v>152</v>
      </c>
      <c r="I95" s="12" cm="1">
        <f t="array" ref="I95">_xlfn.XLOOKUP(UPPER(H95), UPPER($B$1:$B$268), $C$1:$C$268)</f>
        <v>551.95152347055955</v>
      </c>
      <c r="J95" s="13" cm="1">
        <f t="array" ref="J95">_xlfn.XLOOKUP(UPPER(H95), UPPER($B$1:$B$268), $D$1:$D$268)</f>
        <v>11952668098.89068</v>
      </c>
      <c r="L95" t="s">
        <v>152</v>
      </c>
      <c r="M95">
        <v>551.95152347055955</v>
      </c>
      <c r="N95">
        <v>11952668098.89068</v>
      </c>
      <c r="R95" s="27" t="s">
        <v>98</v>
      </c>
      <c r="S95" s="27">
        <f t="shared" si="2"/>
        <v>4017.7460411155357</v>
      </c>
      <c r="T95" s="27">
        <f t="shared" si="3"/>
        <v>405742875627.91882</v>
      </c>
    </row>
    <row r="96" spans="1:20" x14ac:dyDescent="0.3">
      <c r="A96" t="s">
        <v>289</v>
      </c>
      <c r="B96" t="s">
        <v>289</v>
      </c>
      <c r="C96" s="10" t="s">
        <v>182</v>
      </c>
      <c r="D96" s="10" t="s">
        <v>182</v>
      </c>
      <c r="H96" s="11" t="s">
        <v>65</v>
      </c>
      <c r="I96" s="12" cm="1">
        <f t="array" ref="I96">_xlfn.XLOOKUP(UPPER(H96), UPPER($B$1:$B$268), $C$1:$C$268)</f>
        <v>11883.791277489954</v>
      </c>
      <c r="J96" s="13" cm="1">
        <f t="array" ref="J96">_xlfn.XLOOKUP(UPPER(H96), UPPER($B$1:$B$268), $D$1:$D$268)</f>
        <v>422559964245.24005</v>
      </c>
      <c r="L96" t="s">
        <v>65</v>
      </c>
      <c r="M96">
        <v>11883.791277489954</v>
      </c>
      <c r="N96">
        <v>422559964245.24005</v>
      </c>
      <c r="R96" s="27" t="s">
        <v>99</v>
      </c>
      <c r="S96" s="27">
        <f t="shared" si="2"/>
        <v>3045.6147660238466</v>
      </c>
      <c r="T96" s="27">
        <f t="shared" si="3"/>
        <v>37806175459.305305</v>
      </c>
    </row>
    <row r="97" spans="1:20" x14ac:dyDescent="0.3">
      <c r="A97" t="s">
        <v>290</v>
      </c>
      <c r="B97" t="s">
        <v>290</v>
      </c>
      <c r="C97" s="10">
        <v>41845.166056752256</v>
      </c>
      <c r="D97" s="10">
        <v>417380424316.46967</v>
      </c>
      <c r="H97" s="11" t="s">
        <v>140</v>
      </c>
      <c r="I97" s="12" cm="1">
        <f t="array" ref="I97">_xlfn.XLOOKUP(UPPER(H97), UPPER($B$1:$B$268), $C$1:$C$268)</f>
        <v>909.75531791081255</v>
      </c>
      <c r="J97" s="13" cm="1">
        <f t="array" ref="J97">_xlfn.XLOOKUP(UPPER(H97), UPPER($B$1:$B$268), $D$1:$D$268)</f>
        <v>22269531976.235027</v>
      </c>
      <c r="L97" t="s">
        <v>140</v>
      </c>
      <c r="M97">
        <v>909.75531791081255</v>
      </c>
      <c r="N97">
        <v>22269531976.235027</v>
      </c>
      <c r="R97" s="27" t="s">
        <v>100</v>
      </c>
      <c r="S97" s="27">
        <f t="shared" si="2"/>
        <v>4034.3505346328411</v>
      </c>
      <c r="T97" s="27">
        <f t="shared" si="3"/>
        <v>12224610619.857546</v>
      </c>
    </row>
    <row r="98" spans="1:20" x14ac:dyDescent="0.3">
      <c r="A98" t="s">
        <v>291</v>
      </c>
      <c r="B98" t="s">
        <v>291</v>
      </c>
      <c r="C98" s="10">
        <v>34495.254579963643</v>
      </c>
      <c r="D98" s="10">
        <v>2033588532657.241</v>
      </c>
      <c r="H98" s="11" t="s">
        <v>28</v>
      </c>
      <c r="I98" s="12" cm="1">
        <f t="array" ref="I98">_xlfn.XLOOKUP(UPPER(H98), UPPER($B$1:$B$268), $C$1:$C$268)</f>
        <v>34670.081599711892</v>
      </c>
      <c r="J98" s="13" cm="1">
        <f t="array" ref="J98">_xlfn.XLOOKUP(UPPER(H98), UPPER($B$1:$B$268), $D$1:$D$268)</f>
        <v>19721971907.751312</v>
      </c>
      <c r="L98" t="s">
        <v>28</v>
      </c>
      <c r="M98">
        <v>34670.081599711892</v>
      </c>
      <c r="N98">
        <v>19721971907.751312</v>
      </c>
      <c r="R98" s="27" t="s">
        <v>101</v>
      </c>
      <c r="S98" s="27">
        <f t="shared" si="2"/>
        <v>4006.2058826744255</v>
      </c>
      <c r="T98" s="27">
        <f t="shared" si="3"/>
        <v>49184626298.035133</v>
      </c>
    </row>
    <row r="99" spans="1:20" x14ac:dyDescent="0.3">
      <c r="A99" t="s">
        <v>292</v>
      </c>
      <c r="B99" t="s">
        <v>292</v>
      </c>
      <c r="C99" s="10">
        <v>6096.4327030963041</v>
      </c>
      <c r="D99" s="10">
        <v>17308839319.81345</v>
      </c>
      <c r="G99" t="s">
        <v>286</v>
      </c>
      <c r="H99" s="11" t="s">
        <v>293</v>
      </c>
      <c r="I99" s="12" t="e" cm="1">
        <f t="array" ref="I99">_xlfn.XLOOKUP(UPPER(H99), UPPER($B$1:$B$268), $C$1:$C$268)</f>
        <v>#N/A</v>
      </c>
      <c r="J99" s="13" t="e" cm="1">
        <f t="array" ref="J99">_xlfn.XLOOKUP(UPPER(H99), UPPER($B$1:$B$268), $D$1:$D$268)</f>
        <v>#N/A</v>
      </c>
      <c r="L99" t="s">
        <v>167</v>
      </c>
      <c r="M99" t="e">
        <v>#N/A</v>
      </c>
      <c r="N99" t="e">
        <v>#N/A</v>
      </c>
      <c r="R99" s="27" t="s">
        <v>102</v>
      </c>
      <c r="S99" s="27">
        <f t="shared" si="2"/>
        <v>3516.15405273438</v>
      </c>
      <c r="T99" s="27">
        <f t="shared" si="3"/>
        <v>135975581947.96526</v>
      </c>
    </row>
    <row r="100" spans="1:20" x14ac:dyDescent="0.3">
      <c r="A100" t="s">
        <v>294</v>
      </c>
      <c r="B100" t="s">
        <v>294</v>
      </c>
      <c r="C100" s="10">
        <v>37152.563600355206</v>
      </c>
      <c r="D100" s="10">
        <v>4606002855955.1328</v>
      </c>
      <c r="H100" s="11" t="s">
        <v>124</v>
      </c>
      <c r="I100" s="12" cm="1">
        <f t="array" ref="I100">_xlfn.XLOOKUP(UPPER(H100), UPPER($B$1:$B$268), $C$1:$C$268)</f>
        <v>1688.6139322919007</v>
      </c>
      <c r="J100" s="13" cm="1">
        <f t="array" ref="J100">_xlfn.XLOOKUP(UPPER(H100), UPPER($B$1:$B$268), $D$1:$D$268)</f>
        <v>8729112418.5200901</v>
      </c>
      <c r="L100" t="s">
        <v>124</v>
      </c>
      <c r="M100">
        <v>1688.6139322919007</v>
      </c>
      <c r="N100">
        <v>8729112418.5200901</v>
      </c>
      <c r="R100" s="27" t="s">
        <v>103</v>
      </c>
      <c r="S100" s="27">
        <f t="shared" si="2"/>
        <v>3925.3048697218019</v>
      </c>
      <c r="T100" s="27">
        <f t="shared" si="3"/>
        <v>454721721977.44543</v>
      </c>
    </row>
    <row r="101" spans="1:20" x14ac:dyDescent="0.3">
      <c r="A101" t="s">
        <v>295</v>
      </c>
      <c r="B101" t="s">
        <v>295</v>
      </c>
      <c r="C101" s="10">
        <v>4016.834291432961</v>
      </c>
      <c r="D101" s="10">
        <v>46405988481.472862</v>
      </c>
      <c r="H101" s="11" t="s">
        <v>59</v>
      </c>
      <c r="I101" s="12" cm="1">
        <f t="array" ref="I101">_xlfn.XLOOKUP(UPPER(H101), UPPER($B$1:$B$268), $C$1:$C$268)</f>
        <v>10316.461190221513</v>
      </c>
      <c r="J101" s="13" cm="1">
        <f t="array" ref="J101">_xlfn.XLOOKUP(UPPER(H101), UPPER($B$1:$B$268), $D$1:$D$268)</f>
        <v>1350022500028.8057</v>
      </c>
      <c r="L101" t="s">
        <v>59</v>
      </c>
      <c r="M101">
        <v>10316.461190221513</v>
      </c>
      <c r="N101">
        <v>1350022500028.8057</v>
      </c>
      <c r="R101" s="27" t="s">
        <v>104</v>
      </c>
      <c r="S101" s="27">
        <f t="shared" si="2"/>
        <v>4186.4986638365035</v>
      </c>
      <c r="T101" s="27">
        <f t="shared" si="3"/>
        <v>91751304716.640808</v>
      </c>
    </row>
    <row r="102" spans="1:20" x14ac:dyDescent="0.3">
      <c r="A102" t="s">
        <v>296</v>
      </c>
      <c r="B102" t="s">
        <v>296</v>
      </c>
      <c r="C102" s="10">
        <v>11872.784262629844</v>
      </c>
      <c r="D102" s="10">
        <v>244491152895.88773</v>
      </c>
      <c r="H102" s="11" t="s">
        <v>81</v>
      </c>
      <c r="I102" s="12" cm="1">
        <f t="array" ref="I102">_xlfn.XLOOKUP(UPPER(H102), UPPER($B$1:$B$268), $C$1:$C$268)</f>
        <v>3851.5120251834664</v>
      </c>
      <c r="J102" s="13" cm="1">
        <f t="array" ref="J102">_xlfn.XLOOKUP(UPPER(H102), UPPER($B$1:$B$268), $D$1:$D$268)</f>
        <v>9252510447.170393</v>
      </c>
      <c r="L102" t="s">
        <v>81</v>
      </c>
      <c r="M102">
        <v>3851.5120251834664</v>
      </c>
      <c r="N102">
        <v>9252510447.170393</v>
      </c>
      <c r="R102" s="27" t="s">
        <v>105</v>
      </c>
      <c r="S102" s="27">
        <f t="shared" si="2"/>
        <v>3864.205505108393</v>
      </c>
      <c r="T102" s="27">
        <f t="shared" si="3"/>
        <v>4802519614.2698231</v>
      </c>
    </row>
    <row r="103" spans="1:20" x14ac:dyDescent="0.3">
      <c r="A103" t="s">
        <v>297</v>
      </c>
      <c r="B103" t="s">
        <v>297</v>
      </c>
      <c r="C103" s="10">
        <v>1860.0228704777599</v>
      </c>
      <c r="D103" s="10">
        <v>104966566488.39067</v>
      </c>
      <c r="H103" s="11" t="s">
        <v>89</v>
      </c>
      <c r="I103" s="12" cm="1">
        <f t="array" ref="I103">_xlfn.XLOOKUP(UPPER(H103), UPPER($B$1:$B$268), $C$1:$C$268)</f>
        <v>4626.796096442431</v>
      </c>
      <c r="J103" s="13" cm="1">
        <f t="array" ref="J103">_xlfn.XLOOKUP(UPPER(H103), UPPER($B$1:$B$268), $D$1:$D$268)</f>
        <v>16308475359.187122</v>
      </c>
      <c r="L103" t="s">
        <v>89</v>
      </c>
      <c r="M103">
        <v>4626.796096442431</v>
      </c>
      <c r="N103">
        <v>16308475359.187122</v>
      </c>
      <c r="R103" s="27" t="s">
        <v>106</v>
      </c>
      <c r="S103" s="27">
        <f t="shared" si="2"/>
        <v>1501.0227744988508</v>
      </c>
      <c r="T103" s="27">
        <f t="shared" si="3"/>
        <v>42637366965.006409</v>
      </c>
    </row>
    <row r="104" spans="1:20" x14ac:dyDescent="0.3">
      <c r="A104" t="s">
        <v>298</v>
      </c>
      <c r="B104" t="s">
        <v>298</v>
      </c>
      <c r="C104" s="10">
        <v>2041.8760178695607</v>
      </c>
      <c r="D104" s="10">
        <v>274669078.17177755</v>
      </c>
      <c r="H104" s="11" t="s">
        <v>64</v>
      </c>
      <c r="I104" s="12" cm="1">
        <f t="array" ref="I104">_xlfn.XLOOKUP(UPPER(H104), UPPER($B$1:$B$268), $C$1:$C$268)</f>
        <v>8540.0082891312923</v>
      </c>
      <c r="J104" s="13" cm="1">
        <f t="array" ref="J104">_xlfn.XLOOKUP(UPPER(H104), UPPER($B$1:$B$268), $D$1:$D$268)</f>
        <v>5324908668.4805889</v>
      </c>
      <c r="L104" t="s">
        <v>64</v>
      </c>
      <c r="M104">
        <v>8540.0082891312923</v>
      </c>
      <c r="N104">
        <v>5324908668.4805889</v>
      </c>
      <c r="R104" s="27" t="s">
        <v>107</v>
      </c>
      <c r="S104" s="27" t="str">
        <f t="shared" si="2"/>
        <v>..</v>
      </c>
      <c r="T104" s="27" t="str">
        <f t="shared" si="3"/>
        <v>..</v>
      </c>
    </row>
    <row r="105" spans="1:20" x14ac:dyDescent="0.3">
      <c r="A105" t="s">
        <v>299</v>
      </c>
      <c r="B105" s="14" t="s">
        <v>161</v>
      </c>
      <c r="C105" s="10" t="s">
        <v>182</v>
      </c>
      <c r="D105" s="10" t="s">
        <v>182</v>
      </c>
      <c r="H105" s="11" t="s">
        <v>102</v>
      </c>
      <c r="I105" s="12" cm="1">
        <f t="array" ref="I105">_xlfn.XLOOKUP(UPPER(H105), UPPER($B$1:$B$268), $C$1:$C$268)</f>
        <v>3516.15405273438</v>
      </c>
      <c r="J105" s="13" cm="1">
        <f t="array" ref="J105">_xlfn.XLOOKUP(UPPER(H105), UPPER($B$1:$B$268), $D$1:$D$268)</f>
        <v>135975581947.96526</v>
      </c>
      <c r="L105" t="s">
        <v>102</v>
      </c>
      <c r="M105">
        <v>3516.15405273438</v>
      </c>
      <c r="N105">
        <v>135975581947.96526</v>
      </c>
      <c r="R105" s="27" t="s">
        <v>108</v>
      </c>
      <c r="S105" s="27">
        <f t="shared" si="2"/>
        <v>4137.6092923289816</v>
      </c>
      <c r="T105" s="27">
        <f t="shared" si="3"/>
        <v>482189779212.63232</v>
      </c>
    </row>
    <row r="106" spans="1:20" x14ac:dyDescent="0.3">
      <c r="A106" t="s">
        <v>300</v>
      </c>
      <c r="B106" s="14" t="s">
        <v>32</v>
      </c>
      <c r="C106" s="10">
        <v>37048.42640014959</v>
      </c>
      <c r="D106" s="10">
        <v>1917295522781.8574</v>
      </c>
      <c r="H106" s="11" t="s">
        <v>153</v>
      </c>
      <c r="I106" s="12" cm="1">
        <f t="array" ref="I106">_xlfn.XLOOKUP(UPPER(H106), UPPER($B$1:$B$268), $C$1:$C$268)</f>
        <v>605.60472084851858</v>
      </c>
      <c r="J106" s="13" cm="1">
        <f t="array" ref="J106">_xlfn.XLOOKUP(UPPER(H106), UPPER($B$1:$B$268), $D$1:$D$268)</f>
        <v>20973160980.921219</v>
      </c>
      <c r="L106" t="s">
        <v>153</v>
      </c>
      <c r="M106">
        <v>605.60472084851858</v>
      </c>
      <c r="N106">
        <v>20973160980.921219</v>
      </c>
      <c r="R106" s="27" t="s">
        <v>109</v>
      </c>
      <c r="S106" s="27">
        <f t="shared" si="2"/>
        <v>3290.4248205259801</v>
      </c>
      <c r="T106" s="27">
        <f t="shared" si="3"/>
        <v>3845591877.0947642</v>
      </c>
    </row>
    <row r="107" spans="1:20" x14ac:dyDescent="0.3">
      <c r="A107" t="s">
        <v>301</v>
      </c>
      <c r="B107" t="s">
        <v>301</v>
      </c>
      <c r="C107" s="10">
        <v>5631.6822339213595</v>
      </c>
      <c r="D107" s="10">
        <v>8978889464.6992207</v>
      </c>
      <c r="H107" s="11" t="s">
        <v>135</v>
      </c>
      <c r="I107" s="12" cm="1">
        <f t="array" ref="I107">_xlfn.XLOOKUP(UPPER(H107), UPPER($B$1:$B$268), $C$1:$C$268)</f>
        <v>1158.4792809931553</v>
      </c>
      <c r="J107" s="13" cm="1">
        <f t="array" ref="J107">_xlfn.XLOOKUP(UPPER(H107), UPPER($B$1:$B$268), $D$1:$D$268)</f>
        <v>63137226235.741531</v>
      </c>
      <c r="L107" t="s">
        <v>135</v>
      </c>
      <c r="M107">
        <v>1158.4792809931553</v>
      </c>
      <c r="N107">
        <v>63137226235.741531</v>
      </c>
      <c r="R107" s="27" t="s">
        <v>110</v>
      </c>
      <c r="S107" s="27">
        <f t="shared" si="2"/>
        <v>2573.3715999564797</v>
      </c>
      <c r="T107" s="27">
        <f t="shared" si="3"/>
        <v>27858556649.763664</v>
      </c>
    </row>
    <row r="108" spans="1:20" x14ac:dyDescent="0.3">
      <c r="A108" t="s">
        <v>302</v>
      </c>
      <c r="B108" t="s">
        <v>302</v>
      </c>
      <c r="C108" s="10">
        <v>23867.82650029497</v>
      </c>
      <c r="D108" s="10">
        <v>116887023610.31404</v>
      </c>
      <c r="H108" s="11" t="s">
        <v>100</v>
      </c>
      <c r="I108" s="12" cm="1">
        <f t="array" ref="I108">_xlfn.XLOOKUP(UPPER(H108), UPPER($B$1:$B$268), $C$1:$C$268)</f>
        <v>4034.3505346328411</v>
      </c>
      <c r="J108" s="13" cm="1">
        <f t="array" ref="J108">_xlfn.XLOOKUP(UPPER(H108), UPPER($B$1:$B$268), $D$1:$D$268)</f>
        <v>12224610619.857546</v>
      </c>
      <c r="L108" t="s">
        <v>100</v>
      </c>
      <c r="M108">
        <v>4034.3505346328411</v>
      </c>
      <c r="N108">
        <v>12224610619.857546</v>
      </c>
      <c r="R108" s="27" t="s">
        <v>111</v>
      </c>
      <c r="S108" s="27">
        <f t="shared" si="2"/>
        <v>2564.7374818649341</v>
      </c>
      <c r="T108" s="27">
        <f t="shared" si="3"/>
        <v>27125951106.419441</v>
      </c>
    </row>
    <row r="109" spans="1:20" x14ac:dyDescent="0.3">
      <c r="A109" t="s">
        <v>303</v>
      </c>
      <c r="B109" s="14" t="s">
        <v>272</v>
      </c>
      <c r="C109" s="10">
        <v>1391.6840432992863</v>
      </c>
      <c r="D109" s="10">
        <v>10050558458.413731</v>
      </c>
      <c r="H109" s="11" t="s">
        <v>132</v>
      </c>
      <c r="I109" s="12" cm="1">
        <f t="array" ref="I109">_xlfn.XLOOKUP(UPPER(H109), UPPER($B$1:$B$268), $C$1:$C$268)</f>
        <v>1179.8127276838616</v>
      </c>
      <c r="J109" s="13" cm="1">
        <f t="array" ref="J109">_xlfn.XLOOKUP(UPPER(H109), UPPER($B$1:$B$268), $D$1:$D$268)</f>
        <v>34982690898.441475</v>
      </c>
      <c r="L109" t="s">
        <v>132</v>
      </c>
      <c r="M109">
        <v>1179.8127276838616</v>
      </c>
      <c r="N109">
        <v>34982690898.441475</v>
      </c>
      <c r="R109" s="27" t="s">
        <v>112</v>
      </c>
      <c r="S109" s="27">
        <f t="shared" si="2"/>
        <v>2845.4777930297532</v>
      </c>
      <c r="T109" s="27">
        <f t="shared" si="3"/>
        <v>107803341999.57848</v>
      </c>
    </row>
    <row r="110" spans="1:20" x14ac:dyDescent="0.3">
      <c r="A110" t="s">
        <v>304</v>
      </c>
      <c r="B110" s="14" t="s">
        <v>125</v>
      </c>
      <c r="C110" s="10">
        <v>2721.0781066308214</v>
      </c>
      <c r="D110" s="10">
        <v>21142284373.384182</v>
      </c>
      <c r="H110" s="11" t="s">
        <v>15</v>
      </c>
      <c r="I110" s="12" cm="1">
        <f t="array" ref="I110">_xlfn.XLOOKUP(UPPER(H110), UPPER($B$1:$B$268), $C$1:$C$268)</f>
        <v>51178.525696814686</v>
      </c>
      <c r="J110" s="13" cm="1">
        <f t="array" ref="J110">_xlfn.XLOOKUP(UPPER(H110), UPPER($B$1:$B$268), $D$1:$D$268)</f>
        <v>920880034447.74963</v>
      </c>
      <c r="L110" t="s">
        <v>15</v>
      </c>
      <c r="M110">
        <v>51178.525696814686</v>
      </c>
      <c r="N110">
        <v>920880034447.74963</v>
      </c>
      <c r="R110" s="27" t="s">
        <v>113</v>
      </c>
      <c r="S110" s="27">
        <f t="shared" si="2"/>
        <v>3890.4159307501541</v>
      </c>
      <c r="T110" s="27">
        <f t="shared" si="3"/>
        <v>141462755525.29086</v>
      </c>
    </row>
    <row r="111" spans="1:20" x14ac:dyDescent="0.3">
      <c r="A111" t="s">
        <v>305</v>
      </c>
      <c r="B111" t="s">
        <v>305</v>
      </c>
      <c r="C111" s="10">
        <v>16374.773539623997</v>
      </c>
      <c r="D111" s="10">
        <v>30557357896.857292</v>
      </c>
      <c r="H111" s="11" t="s">
        <v>35</v>
      </c>
      <c r="I111" s="12" t="str" cm="1">
        <f t="array" ref="I111">_xlfn.XLOOKUP(UPPER(H111), UPPER($B$1:$B$268), $C$1:$C$268)</f>
        <v>..</v>
      </c>
      <c r="J111" s="13" t="str" cm="1">
        <f t="array" ref="J111">_xlfn.XLOOKUP(UPPER(H111), UPPER($B$1:$B$268), $D$1:$D$268)</f>
        <v>..</v>
      </c>
      <c r="L111" t="s">
        <v>35</v>
      </c>
      <c r="M111" t="s">
        <v>182</v>
      </c>
      <c r="N111" t="s">
        <v>182</v>
      </c>
      <c r="R111" s="27" t="s">
        <v>114</v>
      </c>
      <c r="S111" s="27">
        <f t="shared" si="2"/>
        <v>2290.4716250599495</v>
      </c>
      <c r="T111" s="27">
        <f t="shared" si="3"/>
        <v>15841222424.942118</v>
      </c>
    </row>
    <row r="112" spans="1:20" x14ac:dyDescent="0.3">
      <c r="A112" t="s">
        <v>306</v>
      </c>
      <c r="B112" t="s">
        <v>306</v>
      </c>
      <c r="C112" s="10" t="s">
        <v>182</v>
      </c>
      <c r="D112" s="10" t="s">
        <v>182</v>
      </c>
      <c r="H112" s="11" t="s">
        <v>26</v>
      </c>
      <c r="I112" s="12" cm="1">
        <f t="array" ref="I112">_xlfn.XLOOKUP(UPPER(H112), UPPER($B$1:$B$268), $C$1:$C$268)</f>
        <v>42408.237873163554</v>
      </c>
      <c r="J112" s="13" cm="1">
        <f t="array" ref="J112">_xlfn.XLOOKUP(UPPER(H112), UPPER($B$1:$B$268), $D$1:$D$268)</f>
        <v>224233557754.35229</v>
      </c>
      <c r="L112" t="s">
        <v>26</v>
      </c>
      <c r="M112">
        <v>42408.237873163554</v>
      </c>
      <c r="N112">
        <v>224233557754.35229</v>
      </c>
      <c r="R112" s="27" t="s">
        <v>115</v>
      </c>
      <c r="S112" s="27">
        <f t="shared" si="2"/>
        <v>2395.676890892219</v>
      </c>
      <c r="T112" s="27">
        <f t="shared" si="3"/>
        <v>76504096839.437027</v>
      </c>
    </row>
    <row r="113" spans="1:20" x14ac:dyDescent="0.3">
      <c r="A113" t="s">
        <v>307</v>
      </c>
      <c r="B113" t="s">
        <v>307</v>
      </c>
      <c r="C113" s="10">
        <v>991.069661910744</v>
      </c>
      <c r="D113" s="10">
        <v>2316549022.352397</v>
      </c>
      <c r="H113" s="11" t="s">
        <v>114</v>
      </c>
      <c r="I113" s="12" cm="1">
        <f t="array" ref="I113">_xlfn.XLOOKUP(UPPER(H113), UPPER($B$1:$B$268), $C$1:$C$268)</f>
        <v>2290.4716250599495</v>
      </c>
      <c r="J113" s="13" cm="1">
        <f t="array" ref="J113">_xlfn.XLOOKUP(UPPER(H113), UPPER($B$1:$B$268), $D$1:$D$268)</f>
        <v>15841222424.942118</v>
      </c>
      <c r="L113" t="s">
        <v>114</v>
      </c>
      <c r="M113">
        <v>2290.4716250599495</v>
      </c>
      <c r="N113">
        <v>15841222424.942118</v>
      </c>
      <c r="R113" s="27" t="s">
        <v>116</v>
      </c>
      <c r="S113" s="27">
        <f t="shared" si="2"/>
        <v>1941.2787436002548</v>
      </c>
      <c r="T113" s="27">
        <f t="shared" si="3"/>
        <v>336932927922.21008</v>
      </c>
    </row>
    <row r="114" spans="1:20" x14ac:dyDescent="0.3">
      <c r="A114" t="s">
        <v>308</v>
      </c>
      <c r="B114" t="s">
        <v>308</v>
      </c>
      <c r="C114" s="10">
        <v>665.10133762419207</v>
      </c>
      <c r="D114" s="10">
        <v>3733092094.5398049</v>
      </c>
      <c r="H114" s="11" t="s">
        <v>151</v>
      </c>
      <c r="I114" s="12" cm="1">
        <f t="array" ref="I114">_xlfn.XLOOKUP(UPPER(H114), UPPER($B$1:$B$268), $C$1:$C$268)</f>
        <v>595.15174455931617</v>
      </c>
      <c r="J114" s="13" cm="1">
        <f t="array" ref="J114">_xlfn.XLOOKUP(UPPER(H114), UPPER($B$1:$B$268), $D$1:$D$268)</f>
        <v>16088387161.446194</v>
      </c>
      <c r="L114" t="s">
        <v>151</v>
      </c>
      <c r="M114">
        <v>595.15174455931617</v>
      </c>
      <c r="N114">
        <v>16088387161.446194</v>
      </c>
      <c r="R114" s="27" t="s">
        <v>117</v>
      </c>
      <c r="S114" s="27">
        <f t="shared" si="2"/>
        <v>2396.9499921354404</v>
      </c>
      <c r="T114" s="27">
        <f t="shared" si="3"/>
        <v>3477820532826.479</v>
      </c>
    </row>
    <row r="115" spans="1:20" x14ac:dyDescent="0.3">
      <c r="A115" t="s">
        <v>309</v>
      </c>
      <c r="B115" t="s">
        <v>309</v>
      </c>
      <c r="C115" s="10">
        <v>7696.0807819319025</v>
      </c>
      <c r="D115" s="10">
        <v>56804949261.297356</v>
      </c>
      <c r="H115" s="11" t="s">
        <v>122</v>
      </c>
      <c r="I115" s="12" cm="1">
        <f t="array" ref="I115">_xlfn.XLOOKUP(UPPER(H115), UPPER($B$1:$B$268), $C$1:$C$268)</f>
        <v>2324.6488120275098</v>
      </c>
      <c r="J115" s="13" cm="1">
        <f t="array" ref="J115">_xlfn.XLOOKUP(UPPER(H115), UPPER($B$1:$B$268), $D$1:$D$268)</f>
        <v>540898072115.8811</v>
      </c>
      <c r="L115" t="s">
        <v>122</v>
      </c>
      <c r="M115">
        <v>2324.6488120275098</v>
      </c>
      <c r="N115">
        <v>540898072115.8811</v>
      </c>
      <c r="R115" s="27" t="s">
        <v>118</v>
      </c>
      <c r="S115" s="27">
        <f t="shared" si="2"/>
        <v>1679.5806109770717</v>
      </c>
      <c r="T115" s="27">
        <f t="shared" si="3"/>
        <v>10636718505.673967</v>
      </c>
    </row>
    <row r="116" spans="1:20" x14ac:dyDescent="0.3">
      <c r="A116" t="s">
        <v>310</v>
      </c>
      <c r="B116" t="s">
        <v>310</v>
      </c>
      <c r="C116" s="10" t="s">
        <v>182</v>
      </c>
      <c r="D116" s="10" t="s">
        <v>182</v>
      </c>
      <c r="H116" s="11" t="s">
        <v>8</v>
      </c>
      <c r="I116" s="12" cm="1">
        <f t="array" ref="I116">_xlfn.XLOOKUP(UPPER(H116), UPPER($B$1:$B$268), $C$1:$C$268)</f>
        <v>79667.527231477608</v>
      </c>
      <c r="J116" s="13" cm="1">
        <f t="array" ref="J116">_xlfn.XLOOKUP(UPPER(H116), UPPER($B$1:$B$268), $D$1:$D$268)</f>
        <v>443929688973.89081</v>
      </c>
      <c r="L116" t="s">
        <v>8</v>
      </c>
      <c r="M116">
        <v>79667.527231477608</v>
      </c>
      <c r="N116">
        <v>443929688973.89081</v>
      </c>
      <c r="R116" s="27" t="s">
        <v>119</v>
      </c>
      <c r="S116" s="27">
        <f t="shared" si="2"/>
        <v>2182.7184390234097</v>
      </c>
      <c r="T116" s="27">
        <f t="shared" si="3"/>
        <v>38500536184.964561</v>
      </c>
    </row>
    <row r="117" spans="1:20" x14ac:dyDescent="0.3">
      <c r="A117" t="s">
        <v>311</v>
      </c>
      <c r="B117" t="s">
        <v>311</v>
      </c>
      <c r="C117" s="10">
        <v>19092.645117695487</v>
      </c>
      <c r="D117" s="10">
        <v>55144866855.247284</v>
      </c>
      <c r="H117" s="11" t="s">
        <v>50</v>
      </c>
      <c r="I117" s="12" cm="1">
        <f t="array" ref="I117">_xlfn.XLOOKUP(UPPER(H117), UPPER($B$1:$B$268), $C$1:$C$268)</f>
        <v>17347.291133905113</v>
      </c>
      <c r="J117" s="13" cm="1">
        <f t="array" ref="J117">_xlfn.XLOOKUP(UPPER(H117), UPPER($B$1:$B$268), $D$1:$D$268)</f>
        <v>91620377320.782944</v>
      </c>
      <c r="L117" t="s">
        <v>50</v>
      </c>
      <c r="M117">
        <v>17347.291133905113</v>
      </c>
      <c r="N117">
        <v>91620377320.782944</v>
      </c>
      <c r="R117" s="27" t="s">
        <v>120</v>
      </c>
      <c r="S117" s="27">
        <f t="shared" si="2"/>
        <v>2167.7269140667804</v>
      </c>
      <c r="T117" s="27">
        <f t="shared" si="3"/>
        <v>74629231909.51947</v>
      </c>
    </row>
    <row r="118" spans="1:20" x14ac:dyDescent="0.3">
      <c r="A118" t="s">
        <v>312</v>
      </c>
      <c r="B118" t="s">
        <v>312</v>
      </c>
      <c r="C118" s="10">
        <v>104147.17399280037</v>
      </c>
      <c r="D118" s="10">
        <v>70508886559.21376</v>
      </c>
      <c r="H118" s="11" t="s">
        <v>133</v>
      </c>
      <c r="I118" s="12" cm="1">
        <f t="array" ref="I118">_xlfn.XLOOKUP(UPPER(H118), UPPER($B$1:$B$268), $C$1:$C$268)</f>
        <v>1634.5673526079943</v>
      </c>
      <c r="J118" s="13" cm="1">
        <f t="array" ref="J118">_xlfn.XLOOKUP(UPPER(H118), UPPER($B$1:$B$268), $D$1:$D$268)</f>
        <v>410716372191.50397</v>
      </c>
      <c r="L118" t="s">
        <v>133</v>
      </c>
      <c r="M118">
        <v>1634.5673526079943</v>
      </c>
      <c r="N118">
        <v>410716372191.50397</v>
      </c>
      <c r="R118" s="27" t="s">
        <v>121</v>
      </c>
      <c r="S118" s="27">
        <f t="shared" si="2"/>
        <v>1417.7189411585307</v>
      </c>
      <c r="T118" s="27">
        <f t="shared" si="3"/>
        <v>23582865676.396053</v>
      </c>
    </row>
    <row r="119" spans="1:20" x14ac:dyDescent="0.3">
      <c r="A119" t="s">
        <v>313</v>
      </c>
      <c r="B119" t="s">
        <v>313</v>
      </c>
      <c r="C119" s="10">
        <v>63377.293212921366</v>
      </c>
      <c r="D119" s="10">
        <v>43540200437.276978</v>
      </c>
      <c r="H119" s="11" t="s">
        <v>52</v>
      </c>
      <c r="I119" s="12" cm="1">
        <f t="array" ref="I119">_xlfn.XLOOKUP(UPPER(H119), UPPER($B$1:$B$268), $C$1:$C$268)</f>
        <v>17122.720655566955</v>
      </c>
      <c r="J119" s="13" cm="1">
        <f t="array" ref="J119">_xlfn.XLOOKUP(UPPER(H119), UPPER($B$1:$B$268), $D$1:$D$268)</f>
        <v>77318963569.703064</v>
      </c>
      <c r="L119" t="s">
        <v>52</v>
      </c>
      <c r="M119">
        <v>17122.720655566955</v>
      </c>
      <c r="N119">
        <v>77318963569.703064</v>
      </c>
      <c r="R119" s="27" t="s">
        <v>122</v>
      </c>
      <c r="S119" s="27">
        <f t="shared" si="2"/>
        <v>2324.6488120275098</v>
      </c>
      <c r="T119" s="27">
        <f t="shared" si="3"/>
        <v>540898072115.8811</v>
      </c>
    </row>
    <row r="120" spans="1:20" x14ac:dyDescent="0.3">
      <c r="A120" t="s">
        <v>314</v>
      </c>
      <c r="B120" t="s">
        <v>314</v>
      </c>
      <c r="C120" s="10">
        <v>453.38306700477222</v>
      </c>
      <c r="D120" s="10">
        <v>14492369787.952595</v>
      </c>
      <c r="H120" s="11" t="s">
        <v>111</v>
      </c>
      <c r="I120" s="12" cm="1">
        <f t="array" ref="I120">_xlfn.XLOOKUP(UPPER(H120), UPPER($B$1:$B$268), $C$1:$C$268)</f>
        <v>2564.7374818649341</v>
      </c>
      <c r="J120" s="13" cm="1">
        <f t="array" ref="J120">_xlfn.XLOOKUP(UPPER(H120), UPPER($B$1:$B$268), $D$1:$D$268)</f>
        <v>27125951106.419441</v>
      </c>
      <c r="L120" t="s">
        <v>111</v>
      </c>
      <c r="M120">
        <v>2564.7374818649341</v>
      </c>
      <c r="N120">
        <v>27125951106.419441</v>
      </c>
      <c r="R120" s="27" t="s">
        <v>123</v>
      </c>
      <c r="S120" s="27">
        <f t="shared" si="2"/>
        <v>1391.6840432992863</v>
      </c>
      <c r="T120" s="27">
        <f t="shared" si="3"/>
        <v>10050558458.413731</v>
      </c>
    </row>
    <row r="121" spans="1:20" x14ac:dyDescent="0.3">
      <c r="A121" t="s">
        <v>315</v>
      </c>
      <c r="B121" t="s">
        <v>315</v>
      </c>
      <c r="C121" s="10">
        <v>551.95152347055955</v>
      </c>
      <c r="D121" s="10">
        <v>11952668098.89068</v>
      </c>
      <c r="H121" s="11" t="s">
        <v>84</v>
      </c>
      <c r="I121" s="12" cm="1">
        <f t="array" ref="I121">_xlfn.XLOOKUP(UPPER(H121), UPPER($B$1:$B$268), $C$1:$C$268)</f>
        <v>6640.8381661311678</v>
      </c>
      <c r="J121" s="13" cm="1">
        <f t="array" ref="J121">_xlfn.XLOOKUP(UPPER(H121), UPPER($B$1:$B$268), $D$1:$D$268)</f>
        <v>46015383701.362282</v>
      </c>
      <c r="L121" t="s">
        <v>84</v>
      </c>
      <c r="M121">
        <v>6640.8381661311678</v>
      </c>
      <c r="N121">
        <v>46015383701.362282</v>
      </c>
      <c r="R121" s="27" t="s">
        <v>124</v>
      </c>
      <c r="S121" s="27">
        <f t="shared" si="2"/>
        <v>1688.6139322919007</v>
      </c>
      <c r="T121" s="27">
        <f t="shared" si="3"/>
        <v>8729112418.5200901</v>
      </c>
    </row>
    <row r="122" spans="1:20" x14ac:dyDescent="0.3">
      <c r="A122" t="s">
        <v>316</v>
      </c>
      <c r="B122" t="s">
        <v>316</v>
      </c>
      <c r="C122" s="10">
        <v>11883.791277489954</v>
      </c>
      <c r="D122" s="10">
        <v>422559964245.24005</v>
      </c>
      <c r="H122" s="11" t="s">
        <v>74</v>
      </c>
      <c r="I122" s="12" cm="1">
        <f t="array" ref="I122">_xlfn.XLOOKUP(UPPER(H122), UPPER($B$1:$B$268), $C$1:$C$268)</f>
        <v>6711.1940327252696</v>
      </c>
      <c r="J122" s="13" cm="1">
        <f t="array" ref="J122">_xlfn.XLOOKUP(UPPER(H122), UPPER($B$1:$B$268), $D$1:$D$268)</f>
        <v>229642617310.30029</v>
      </c>
      <c r="L122" t="s">
        <v>74</v>
      </c>
      <c r="M122">
        <v>6711.1940327252696</v>
      </c>
      <c r="N122">
        <v>229642617310.30029</v>
      </c>
      <c r="R122" s="27" t="s">
        <v>125</v>
      </c>
      <c r="S122" s="27">
        <f t="shared" si="2"/>
        <v>2721.0781066308214</v>
      </c>
      <c r="T122" s="27">
        <f t="shared" si="3"/>
        <v>21142284373.384182</v>
      </c>
    </row>
    <row r="123" spans="1:20" x14ac:dyDescent="0.3">
      <c r="A123" t="s">
        <v>317</v>
      </c>
      <c r="B123" t="s">
        <v>317</v>
      </c>
      <c r="C123" s="10">
        <v>11798.791369146036</v>
      </c>
      <c r="D123" s="10">
        <v>6227390285.8439083</v>
      </c>
      <c r="H123" s="11" t="s">
        <v>103</v>
      </c>
      <c r="I123" s="12" cm="1">
        <f t="array" ref="I123">_xlfn.XLOOKUP(UPPER(H123), UPPER($B$1:$B$268), $C$1:$C$268)</f>
        <v>3925.3048697218019</v>
      </c>
      <c r="J123" s="13" cm="1">
        <f t="array" ref="J123">_xlfn.XLOOKUP(UPPER(H123), UPPER($B$1:$B$268), $D$1:$D$268)</f>
        <v>454721721977.44543</v>
      </c>
      <c r="L123" t="s">
        <v>103</v>
      </c>
      <c r="M123">
        <v>3925.3048697218019</v>
      </c>
      <c r="N123">
        <v>454721721977.44543</v>
      </c>
      <c r="R123" s="27" t="s">
        <v>126</v>
      </c>
      <c r="S123" s="27">
        <f t="shared" si="2"/>
        <v>1860.0228704777599</v>
      </c>
      <c r="T123" s="27">
        <f t="shared" si="3"/>
        <v>104966566488.39067</v>
      </c>
    </row>
    <row r="124" spans="1:20" x14ac:dyDescent="0.3">
      <c r="A124" t="s">
        <v>318</v>
      </c>
      <c r="B124" t="s">
        <v>318</v>
      </c>
      <c r="C124" s="10">
        <v>909.75531791081255</v>
      </c>
      <c r="D124" s="10">
        <v>22269531976.235027</v>
      </c>
      <c r="H124" s="11" t="s">
        <v>49</v>
      </c>
      <c r="I124" s="12" cm="1">
        <f t="array" ref="I124">_xlfn.XLOOKUP(UPPER(H124), UPPER($B$1:$B$268), $C$1:$C$268)</f>
        <v>18000.50345912854</v>
      </c>
      <c r="J124" s="13" cm="1">
        <f t="array" ref="J124">_xlfn.XLOOKUP(UPPER(H124), UPPER($B$1:$B$268), $D$1:$D$268)</f>
        <v>658084600079.5863</v>
      </c>
      <c r="L124" t="s">
        <v>49</v>
      </c>
      <c r="M124">
        <v>18000.50345912854</v>
      </c>
      <c r="N124">
        <v>658084600079.5863</v>
      </c>
      <c r="R124" s="27" t="s">
        <v>127</v>
      </c>
      <c r="S124" s="27">
        <f t="shared" si="2"/>
        <v>1480.7309743199316</v>
      </c>
      <c r="T124" s="27">
        <f t="shared" si="3"/>
        <v>43124429828.964264</v>
      </c>
    </row>
    <row r="125" spans="1:20" x14ac:dyDescent="0.3">
      <c r="A125" t="s">
        <v>319</v>
      </c>
      <c r="B125" t="s">
        <v>319</v>
      </c>
      <c r="C125" s="10">
        <v>34670.081599711892</v>
      </c>
      <c r="D125" s="10">
        <v>19721971907.751312</v>
      </c>
      <c r="H125" s="11" t="s">
        <v>42</v>
      </c>
      <c r="I125" s="12" cm="1">
        <f t="array" ref="I125">_xlfn.XLOOKUP(UPPER(H125), UPPER($B$1:$B$268), $C$1:$C$268)</f>
        <v>22647.379189557902</v>
      </c>
      <c r="J125" s="13" cm="1">
        <f t="array" ref="J125">_xlfn.XLOOKUP(UPPER(H125), UPPER($B$1:$B$268), $D$1:$D$268)</f>
        <v>242206495918.36029</v>
      </c>
      <c r="L125" t="s">
        <v>42</v>
      </c>
      <c r="M125">
        <v>22647.379189557902</v>
      </c>
      <c r="N125">
        <v>242206495918.36029</v>
      </c>
      <c r="R125" s="27" t="s">
        <v>128</v>
      </c>
      <c r="S125" s="27">
        <f t="shared" si="2"/>
        <v>1154.8730090988822</v>
      </c>
      <c r="T125" s="27">
        <f t="shared" si="3"/>
        <v>13595808327.378111</v>
      </c>
    </row>
    <row r="126" spans="1:20" x14ac:dyDescent="0.3">
      <c r="A126" t="s">
        <v>320</v>
      </c>
      <c r="B126" t="s">
        <v>320</v>
      </c>
      <c r="C126" s="10">
        <v>5811.0335567348711</v>
      </c>
      <c r="D126" s="10">
        <v>218192687.98828095</v>
      </c>
      <c r="H126" s="11" t="s">
        <v>11</v>
      </c>
      <c r="I126" s="12" cm="1">
        <f t="array" ref="I126">_xlfn.XLOOKUP(UPPER(H126), UPPER($B$1:$B$268), $C$1:$C$268)</f>
        <v>62157.375179184797</v>
      </c>
      <c r="J126" s="13" cm="1">
        <f t="array" ref="J126">_xlfn.XLOOKUP(UPPER(H126), UPPER($B$1:$B$268), $D$1:$D$268)</f>
        <v>177634714249.32825</v>
      </c>
      <c r="L126" t="s">
        <v>11</v>
      </c>
      <c r="M126">
        <v>62157.375179184797</v>
      </c>
      <c r="N126">
        <v>177634714249.32825</v>
      </c>
      <c r="R126" s="27" t="s">
        <v>129</v>
      </c>
      <c r="S126" s="27">
        <f t="shared" si="2"/>
        <v>1511.8928067023369</v>
      </c>
      <c r="T126" s="27">
        <f t="shared" si="3"/>
        <v>27973016519.321728</v>
      </c>
    </row>
    <row r="127" spans="1:20" x14ac:dyDescent="0.3">
      <c r="A127" t="s">
        <v>321</v>
      </c>
      <c r="B127" t="s">
        <v>321</v>
      </c>
      <c r="C127" s="10">
        <v>1688.6139322919007</v>
      </c>
      <c r="D127" s="10">
        <v>8729112418.5200901</v>
      </c>
      <c r="G127" t="s">
        <v>286</v>
      </c>
      <c r="H127" s="11" t="s">
        <v>322</v>
      </c>
      <c r="I127" s="12" t="e" cm="1">
        <f t="array" ref="I127">_xlfn.XLOOKUP(UPPER(H127), UPPER($B$1:$B$268), $C$1:$C$268)</f>
        <v>#N/A</v>
      </c>
      <c r="J127" s="13" t="e" cm="1">
        <f t="array" ref="J127">_xlfn.XLOOKUP(UPPER(H127), UPPER($B$1:$B$268), $D$1:$D$268)</f>
        <v>#N/A</v>
      </c>
      <c r="L127" t="s">
        <v>160</v>
      </c>
      <c r="M127" t="e">
        <v>#N/A</v>
      </c>
      <c r="N127" t="e">
        <v>#N/A</v>
      </c>
      <c r="R127" s="27" t="s">
        <v>130</v>
      </c>
      <c r="S127" s="27">
        <f t="shared" si="2"/>
        <v>1045.9220747581671</v>
      </c>
      <c r="T127" s="27">
        <f t="shared" si="3"/>
        <v>15432355339.810682</v>
      </c>
    </row>
    <row r="128" spans="1:20" x14ac:dyDescent="0.3">
      <c r="A128" t="s">
        <v>323</v>
      </c>
      <c r="B128" t="s">
        <v>323</v>
      </c>
      <c r="C128" s="10">
        <v>11934.770909957007</v>
      </c>
      <c r="D128" s="10">
        <v>14868086969.435331</v>
      </c>
      <c r="H128" s="11" t="s">
        <v>53</v>
      </c>
      <c r="I128" s="12" cm="1">
        <f t="array" ref="I128">_xlfn.XLOOKUP(UPPER(H128), UPPER($B$1:$B$268), $C$1:$C$268)</f>
        <v>12459.911206189136</v>
      </c>
      <c r="J128" s="13" cm="1">
        <f t="array" ref="J128">_xlfn.XLOOKUP(UPPER(H128), UPPER($B$1:$B$268), $D$1:$D$268)</f>
        <v>237383786157.71899</v>
      </c>
      <c r="L128" t="s">
        <v>53</v>
      </c>
      <c r="M128">
        <v>12459.911206189136</v>
      </c>
      <c r="N128">
        <v>237383786157.71899</v>
      </c>
      <c r="R128" s="27" t="s">
        <v>131</v>
      </c>
      <c r="S128" s="27">
        <f t="shared" si="2"/>
        <v>1324.7831259743414</v>
      </c>
      <c r="T128" s="27">
        <f t="shared" si="3"/>
        <v>19159972710.824131</v>
      </c>
    </row>
    <row r="129" spans="1:20" x14ac:dyDescent="0.3">
      <c r="A129" t="s">
        <v>324</v>
      </c>
      <c r="B129" t="s">
        <v>324</v>
      </c>
      <c r="C129" s="10">
        <v>10316.461190221513</v>
      </c>
      <c r="D129" s="10">
        <v>1350022500028.8057</v>
      </c>
      <c r="H129" s="11" t="s">
        <v>58</v>
      </c>
      <c r="I129" s="12" cm="1">
        <f t="array" ref="I129">_xlfn.XLOOKUP(UPPER(H129), UPPER($B$1:$B$268), $C$1:$C$268)</f>
        <v>11043.259765625</v>
      </c>
      <c r="J129" s="13" cm="1">
        <f t="array" ref="J129">_xlfn.XLOOKUP(UPPER(H129), UPPER($B$1:$B$268), $D$1:$D$268)</f>
        <v>1612344875264.3628</v>
      </c>
      <c r="L129" t="s">
        <v>58</v>
      </c>
      <c r="M129">
        <v>11043.259765625</v>
      </c>
      <c r="N129">
        <v>1612344875264.3628</v>
      </c>
      <c r="R129" s="27" t="s">
        <v>132</v>
      </c>
      <c r="S129" s="27">
        <f t="shared" si="2"/>
        <v>1179.8127276838616</v>
      </c>
      <c r="T129" s="27">
        <f t="shared" si="3"/>
        <v>34982690898.441475</v>
      </c>
    </row>
    <row r="130" spans="1:20" x14ac:dyDescent="0.3">
      <c r="A130" t="s">
        <v>325</v>
      </c>
      <c r="B130" t="s">
        <v>325</v>
      </c>
      <c r="C130" s="10">
        <v>2930.2792655557432</v>
      </c>
      <c r="D130" s="10">
        <v>331590401.69028789</v>
      </c>
      <c r="H130" s="11" t="s">
        <v>141</v>
      </c>
      <c r="I130" s="12" cm="1">
        <f t="array" ref="I130">_xlfn.XLOOKUP(UPPER(H130), UPPER($B$1:$B$268), $C$1:$C$268)</f>
        <v>1070.4500377092575</v>
      </c>
      <c r="J130" s="13" cm="1">
        <f t="array" ref="J130">_xlfn.XLOOKUP(UPPER(H130), UPPER($B$1:$B$268), $D$1:$D$268)</f>
        <v>15260942682.754557</v>
      </c>
      <c r="L130" t="s">
        <v>141</v>
      </c>
      <c r="M130">
        <v>1070.4500377092575</v>
      </c>
      <c r="N130">
        <v>15260942682.754557</v>
      </c>
      <c r="R130" s="27" t="s">
        <v>133</v>
      </c>
      <c r="S130" s="27">
        <f t="shared" si="2"/>
        <v>1634.5673526079943</v>
      </c>
      <c r="T130" s="27">
        <f t="shared" si="3"/>
        <v>410716372191.50397</v>
      </c>
    </row>
    <row r="131" spans="1:20" x14ac:dyDescent="0.3">
      <c r="A131" t="s">
        <v>326</v>
      </c>
      <c r="B131" t="s">
        <v>326</v>
      </c>
      <c r="C131" s="10">
        <v>3851.5120251834664</v>
      </c>
      <c r="D131" s="10">
        <v>9252510447.170393</v>
      </c>
      <c r="H131" s="11" t="s">
        <v>16</v>
      </c>
      <c r="I131" s="12" t="str" cm="1">
        <f t="array" ref="I131">_xlfn.XLOOKUP(UPPER(H131), UPPER($B$1:$B$268), $C$1:$C$268)</f>
        <v>..</v>
      </c>
      <c r="J131" s="13" t="str" cm="1">
        <f t="array" ref="J131">_xlfn.XLOOKUP(UPPER(H131), UPPER($B$1:$B$268), $D$1:$D$268)</f>
        <v>..</v>
      </c>
      <c r="L131" t="s">
        <v>16</v>
      </c>
      <c r="M131" t="s">
        <v>182</v>
      </c>
      <c r="N131" t="s">
        <v>182</v>
      </c>
      <c r="R131" s="27" t="s">
        <v>134</v>
      </c>
      <c r="S131" s="27">
        <f t="shared" ref="S131:S170" si="4">VLOOKUP(R131,L:N,2,FALSE)</f>
        <v>1343.3896638035292</v>
      </c>
      <c r="T131" s="27">
        <f t="shared" ref="T131:T170" si="5">VLOOKUP(R131,L:N,3,FALSE)</f>
        <v>28634291574.827019</v>
      </c>
    </row>
    <row r="132" spans="1:20" x14ac:dyDescent="0.3">
      <c r="A132" t="s">
        <v>327</v>
      </c>
      <c r="B132" t="s">
        <v>327</v>
      </c>
      <c r="C132" s="10">
        <v>247170.21991065657</v>
      </c>
      <c r="D132" s="10">
        <v>9548432765.3685741</v>
      </c>
      <c r="H132" s="11" t="s">
        <v>31</v>
      </c>
      <c r="I132" s="12" cm="1">
        <f t="array" ref="I132">_xlfn.XLOOKUP(UPPER(H132), UPPER($B$1:$B$268), $C$1:$C$268)</f>
        <v>24963.332213909456</v>
      </c>
      <c r="J132" s="13" cm="1">
        <f t="array" ref="J132">_xlfn.XLOOKUP(UPPER(H132), UPPER($B$1:$B$268), $D$1:$D$268)</f>
        <v>881212616884.02368</v>
      </c>
      <c r="L132" t="s">
        <v>31</v>
      </c>
      <c r="M132">
        <v>24963.332213909456</v>
      </c>
      <c r="N132">
        <v>881212616884.02368</v>
      </c>
      <c r="R132" s="27" t="s">
        <v>135</v>
      </c>
      <c r="S132" s="27">
        <f t="shared" si="4"/>
        <v>1158.4792809931553</v>
      </c>
      <c r="T132" s="27">
        <f t="shared" si="5"/>
        <v>63137226235.741531</v>
      </c>
    </row>
    <row r="133" spans="1:20" x14ac:dyDescent="0.3">
      <c r="A133" t="s">
        <v>328</v>
      </c>
      <c r="B133" t="s">
        <v>328</v>
      </c>
      <c r="C133" s="10">
        <v>4626.796096442431</v>
      </c>
      <c r="D133" s="10">
        <v>16308475359.187122</v>
      </c>
      <c r="H133" s="11" t="s">
        <v>129</v>
      </c>
      <c r="I133" s="12" cm="1">
        <f t="array" ref="I133">_xlfn.XLOOKUP(UPPER(H133), UPPER($B$1:$B$268), $C$1:$C$268)</f>
        <v>1511.8928067023369</v>
      </c>
      <c r="J133" s="13" cm="1">
        <f t="array" ref="J133">_xlfn.XLOOKUP(UPPER(H133), UPPER($B$1:$B$268), $D$1:$D$268)</f>
        <v>27973016519.321728</v>
      </c>
      <c r="L133" t="s">
        <v>129</v>
      </c>
      <c r="M133">
        <v>1511.8928067023369</v>
      </c>
      <c r="N133">
        <v>27973016519.321728</v>
      </c>
      <c r="R133" s="27" t="s">
        <v>136</v>
      </c>
      <c r="S133" s="27">
        <f t="shared" si="4"/>
        <v>1120.77416992188</v>
      </c>
      <c r="T133" s="27">
        <f t="shared" si="5"/>
        <v>74463225268.464447</v>
      </c>
    </row>
    <row r="134" spans="1:20" x14ac:dyDescent="0.3">
      <c r="A134" t="s">
        <v>329</v>
      </c>
      <c r="B134" t="s">
        <v>329</v>
      </c>
      <c r="C134" s="10">
        <v>8540.0082891312923</v>
      </c>
      <c r="D134" s="10">
        <v>5324908668.4805889</v>
      </c>
      <c r="H134" s="11" t="s">
        <v>63</v>
      </c>
      <c r="I134" s="12" cm="1">
        <f t="array" ref="I134">_xlfn.XLOOKUP(UPPER(H134), UPPER($B$1:$B$268), $C$1:$C$268)</f>
        <v>8580.2610582325888</v>
      </c>
      <c r="J134" s="13" cm="1">
        <f t="array" ref="J134">_xlfn.XLOOKUP(UPPER(H134), UPPER($B$1:$B$268), $D$1:$D$268)</f>
        <v>56513683533.783546</v>
      </c>
      <c r="L134" t="s">
        <v>63</v>
      </c>
      <c r="M134">
        <v>8580.2610582325888</v>
      </c>
      <c r="N134">
        <v>56513683533.783546</v>
      </c>
      <c r="R134" s="27" t="s">
        <v>137</v>
      </c>
      <c r="S134" s="27">
        <f t="shared" si="4"/>
        <v>1496.3381339503744</v>
      </c>
      <c r="T134" s="27">
        <f t="shared" si="5"/>
        <v>15847607943.984638</v>
      </c>
    </row>
    <row r="135" spans="1:20" x14ac:dyDescent="0.3">
      <c r="A135" t="s">
        <v>330</v>
      </c>
      <c r="B135" t="s">
        <v>330</v>
      </c>
      <c r="C135" s="10">
        <v>3516.15405273438</v>
      </c>
      <c r="D135" s="10">
        <v>135975581947.96526</v>
      </c>
      <c r="H135" s="11" t="s">
        <v>149</v>
      </c>
      <c r="I135" s="12" cm="1">
        <f t="array" ref="I135">_xlfn.XLOOKUP(UPPER(H135), UPPER($B$1:$B$268), $C$1:$C$268)</f>
        <v>1137.2900567305433</v>
      </c>
      <c r="J135" s="13" cm="1">
        <f t="array" ref="J135">_xlfn.XLOOKUP(UPPER(H135), UPPER($B$1:$B$268), $D$1:$D$268)</f>
        <v>9828485690.6466026</v>
      </c>
      <c r="L135" t="s">
        <v>149</v>
      </c>
      <c r="M135">
        <v>1137.2900567305433</v>
      </c>
      <c r="N135">
        <v>9828485690.6466026</v>
      </c>
      <c r="R135" s="27" t="s">
        <v>138</v>
      </c>
      <c r="S135" s="27">
        <f t="shared" si="4"/>
        <v>883.45858861929116</v>
      </c>
      <c r="T135" s="27">
        <f t="shared" si="5"/>
        <v>116669335367.21245</v>
      </c>
    </row>
    <row r="136" spans="1:20" x14ac:dyDescent="0.3">
      <c r="A136" t="s">
        <v>331</v>
      </c>
      <c r="B136" t="s">
        <v>331</v>
      </c>
      <c r="C136" s="10">
        <v>605.60472084851858</v>
      </c>
      <c r="D136" s="10">
        <v>20973160980.921219</v>
      </c>
      <c r="H136" s="11" t="s">
        <v>9</v>
      </c>
      <c r="I136" s="12" cm="1">
        <f t="array" ref="I136">_xlfn.XLOOKUP(UPPER(H136), UPPER($B$1:$B$268), $C$1:$C$268)</f>
        <v>67706.833614973919</v>
      </c>
      <c r="J136" s="13" cm="1">
        <f t="array" ref="J136">_xlfn.XLOOKUP(UPPER(H136), UPPER($B$1:$B$268), $D$1:$D$268)</f>
        <v>408736675576.89142</v>
      </c>
      <c r="L136" t="s">
        <v>9</v>
      </c>
      <c r="M136">
        <v>67706.833614973919</v>
      </c>
      <c r="N136">
        <v>408736675576.89142</v>
      </c>
      <c r="R136" s="27" t="s">
        <v>139</v>
      </c>
      <c r="S136" s="27">
        <f t="shared" si="4"/>
        <v>931.02996552985746</v>
      </c>
      <c r="T136" s="27">
        <f t="shared" si="5"/>
        <v>8858969845.088459</v>
      </c>
    </row>
    <row r="137" spans="1:20" x14ac:dyDescent="0.3">
      <c r="A137" t="s">
        <v>332</v>
      </c>
      <c r="B137" t="s">
        <v>332</v>
      </c>
      <c r="C137" s="10">
        <v>1158.4792809931553</v>
      </c>
      <c r="D137" s="10">
        <v>63137226235.741531</v>
      </c>
      <c r="H137" s="11" t="s">
        <v>333</v>
      </c>
      <c r="I137" s="12" cm="1">
        <f t="array" ref="I137">_xlfn.XLOOKUP(UPPER(H137), UPPER($B$1:$B$268), $C$1:$C$268)</f>
        <v>19776.175806949843</v>
      </c>
      <c r="J137" s="13" cm="1">
        <f t="array" ref="J137">_xlfn.XLOOKUP(UPPER(H137), UPPER($B$1:$B$268), $D$1:$D$268)</f>
        <v>107227789781.41272</v>
      </c>
      <c r="L137" t="s">
        <v>43</v>
      </c>
      <c r="M137">
        <v>19776.175806949843</v>
      </c>
      <c r="N137">
        <v>107227789781.41272</v>
      </c>
      <c r="R137" s="27" t="s">
        <v>140</v>
      </c>
      <c r="S137" s="27">
        <f t="shared" si="4"/>
        <v>909.75531791081255</v>
      </c>
      <c r="T137" s="27">
        <f t="shared" si="5"/>
        <v>22269531976.235027</v>
      </c>
    </row>
    <row r="138" spans="1:20" x14ac:dyDescent="0.3">
      <c r="A138" t="s">
        <v>334</v>
      </c>
      <c r="B138" t="s">
        <v>334</v>
      </c>
      <c r="C138" s="10">
        <v>4034.3505346328411</v>
      </c>
      <c r="D138" s="10">
        <v>12224610619.857546</v>
      </c>
      <c r="H138" s="11" t="s">
        <v>38</v>
      </c>
      <c r="I138" s="12" cm="1">
        <f t="array" ref="I138">_xlfn.XLOOKUP(UPPER(H138), UPPER($B$1:$B$268), $C$1:$C$268)</f>
        <v>26134.627203986995</v>
      </c>
      <c r="J138" s="13" cm="1">
        <f t="array" ref="J138">_xlfn.XLOOKUP(UPPER(H138), UPPER($B$1:$B$268), $D$1:$D$268)</f>
        <v>55598805913.761932</v>
      </c>
      <c r="L138" t="s">
        <v>38</v>
      </c>
      <c r="M138">
        <v>26134.627203986995</v>
      </c>
      <c r="N138">
        <v>55598805913.761932</v>
      </c>
      <c r="R138" s="27" t="s">
        <v>141</v>
      </c>
      <c r="S138" s="27">
        <f t="shared" si="4"/>
        <v>1070.4500377092575</v>
      </c>
      <c r="T138" s="27">
        <f t="shared" si="5"/>
        <v>15260942682.754557</v>
      </c>
    </row>
    <row r="139" spans="1:20" x14ac:dyDescent="0.3">
      <c r="A139" t="s">
        <v>335</v>
      </c>
      <c r="B139" t="s">
        <v>335</v>
      </c>
      <c r="C139" s="10">
        <v>8570.9558295067545</v>
      </c>
      <c r="D139" s="10">
        <v>102397209.2951172</v>
      </c>
      <c r="H139" s="11" t="s">
        <v>336</v>
      </c>
      <c r="I139" s="12" cm="1">
        <f t="array" ref="I139">_xlfn.XLOOKUP(UPPER(H139), UPPER($B$1:$B$268), $C$1:$C$268)</f>
        <v>467.26991019441482</v>
      </c>
      <c r="J139" s="13" cm="1">
        <f t="array" ref="J139">_xlfn.XLOOKUP(UPPER(H139), UPPER($B$1:$B$268), $D$1:$D$268)</f>
        <v>8882404280.6420708</v>
      </c>
      <c r="L139" t="s">
        <v>154</v>
      </c>
      <c r="M139">
        <v>467.26991019441482</v>
      </c>
      <c r="N139">
        <v>8882404280.6420708</v>
      </c>
      <c r="R139" s="27" t="s">
        <v>142</v>
      </c>
      <c r="S139" s="27">
        <f t="shared" si="4"/>
        <v>986.09014536392408</v>
      </c>
      <c r="T139" s="27">
        <f t="shared" si="5"/>
        <v>49319389340.670036</v>
      </c>
    </row>
    <row r="140" spans="1:20" x14ac:dyDescent="0.3">
      <c r="A140" t="s">
        <v>337</v>
      </c>
      <c r="B140" t="s">
        <v>337</v>
      </c>
      <c r="C140" s="10">
        <v>1179.8127276838616</v>
      </c>
      <c r="D140" s="10">
        <v>34982690898.441475</v>
      </c>
      <c r="H140" s="11" t="s">
        <v>86</v>
      </c>
      <c r="I140" s="12" cm="1">
        <f t="array" ref="I140">_xlfn.XLOOKUP(UPPER(H140), UPPER($B$1:$B$268), $C$1:$C$268)</f>
        <v>5715.4753146914782</v>
      </c>
      <c r="J140" s="13" cm="1">
        <f t="array" ref="J140">_xlfn.XLOOKUP(UPPER(H140), UPPER($B$1:$B$268), $D$1:$D$268)</f>
        <v>365831497261.34131</v>
      </c>
      <c r="L140" t="s">
        <v>86</v>
      </c>
      <c r="M140">
        <v>5715.4753146914782</v>
      </c>
      <c r="N140">
        <v>365831497261.34131</v>
      </c>
      <c r="R140" s="27" t="s">
        <v>143</v>
      </c>
      <c r="S140" s="27">
        <f t="shared" si="4"/>
        <v>793.69215767377864</v>
      </c>
      <c r="T140" s="27">
        <f t="shared" si="5"/>
        <v>1747195818.6794879</v>
      </c>
    </row>
    <row r="141" spans="1:20" x14ac:dyDescent="0.3">
      <c r="A141" t="s">
        <v>338</v>
      </c>
      <c r="B141" t="s">
        <v>338</v>
      </c>
      <c r="C141" s="10">
        <v>51178.525696814686</v>
      </c>
      <c r="D141" s="10">
        <v>920880034447.74963</v>
      </c>
      <c r="H141" s="11" t="s">
        <v>172</v>
      </c>
      <c r="I141" s="12" t="str" cm="1">
        <f t="array" ref="I141">_xlfn.XLOOKUP(UPPER(H141), UPPER($B$1:$B$268), $C$1:$C$268)</f>
        <v>..</v>
      </c>
      <c r="J141" s="13" t="str" cm="1">
        <f t="array" ref="J141">_xlfn.XLOOKUP(UPPER(H141), UPPER($B$1:$B$268), $D$1:$D$268)</f>
        <v>..</v>
      </c>
      <c r="L141" t="s">
        <v>172</v>
      </c>
      <c r="M141" t="s">
        <v>182</v>
      </c>
      <c r="N141" t="s">
        <v>182</v>
      </c>
      <c r="R141" s="27" t="s">
        <v>144</v>
      </c>
      <c r="S141" s="27">
        <f t="shared" si="4"/>
        <v>849.70732100062514</v>
      </c>
      <c r="T141" s="27">
        <f t="shared" si="5"/>
        <v>17248313422.992172</v>
      </c>
    </row>
    <row r="142" spans="1:20" x14ac:dyDescent="0.3">
      <c r="A142" t="s">
        <v>339</v>
      </c>
      <c r="B142" t="s">
        <v>339</v>
      </c>
      <c r="C142" s="10" t="s">
        <v>182</v>
      </c>
      <c r="D142" s="10" t="s">
        <v>182</v>
      </c>
      <c r="H142" s="11" t="s">
        <v>36</v>
      </c>
      <c r="I142" s="12" cm="1">
        <f t="array" ref="I142">_xlfn.XLOOKUP(UPPER(H142), UPPER($B$1:$B$268), $C$1:$C$268)</f>
        <v>29245.21924517295</v>
      </c>
      <c r="J142" s="13" cm="1">
        <f t="array" ref="J142">_xlfn.XLOOKUP(UPPER(H142), UPPER($B$1:$B$268), $D$1:$D$268)</f>
        <v>1428595035672.3743</v>
      </c>
      <c r="L142" t="s">
        <v>36</v>
      </c>
      <c r="M142">
        <v>29245.21924517295</v>
      </c>
      <c r="N142">
        <v>1428595035672.3743</v>
      </c>
      <c r="R142" s="27" t="s">
        <v>145</v>
      </c>
      <c r="S142" s="27">
        <f t="shared" si="4"/>
        <v>991.069661910744</v>
      </c>
      <c r="T142" s="27">
        <f t="shared" si="5"/>
        <v>2316549022.352397</v>
      </c>
    </row>
    <row r="143" spans="1:20" x14ac:dyDescent="0.3">
      <c r="A143" t="s">
        <v>340</v>
      </c>
      <c r="B143" t="s">
        <v>340</v>
      </c>
      <c r="C143" s="10">
        <v>42408.237873163554</v>
      </c>
      <c r="D143" s="10">
        <v>224233557754.35229</v>
      </c>
      <c r="H143" s="11" t="s">
        <v>341</v>
      </c>
      <c r="I143" s="12" cm="1">
        <f t="array" ref="I143">_xlfn.XLOOKUP(UPPER(H143), UPPER($B$1:$B$268), $C$1:$C$268)</f>
        <v>4186.4986638365035</v>
      </c>
      <c r="J143" s="13" cm="1">
        <f t="array" ref="J143">_xlfn.XLOOKUP(UPPER(H143), UPPER($B$1:$B$268), $D$1:$D$268)</f>
        <v>91751304716.640808</v>
      </c>
      <c r="L143" t="s">
        <v>104</v>
      </c>
      <c r="M143">
        <v>4186.4986638365035</v>
      </c>
      <c r="N143">
        <v>91751304716.640808</v>
      </c>
      <c r="R143" s="27" t="s">
        <v>146</v>
      </c>
      <c r="S143" s="27">
        <f t="shared" si="4"/>
        <v>763.83373352240778</v>
      </c>
      <c r="T143" s="27">
        <f t="shared" si="5"/>
        <v>17987353311.131538</v>
      </c>
    </row>
    <row r="144" spans="1:20" x14ac:dyDescent="0.3">
      <c r="A144" t="s">
        <v>342</v>
      </c>
      <c r="B144" t="s">
        <v>342</v>
      </c>
      <c r="C144" s="10">
        <v>2290.4716250599495</v>
      </c>
      <c r="D144" s="10">
        <v>15841222424.942118</v>
      </c>
      <c r="H144" s="11" t="s">
        <v>148</v>
      </c>
      <c r="I144" s="12" cm="1">
        <f t="array" ref="I144">_xlfn.XLOOKUP(UPPER(H144), UPPER($B$1:$B$268), $C$1:$C$268)</f>
        <v>578.38916015625</v>
      </c>
      <c r="J144" s="13" cm="1">
        <f t="array" ref="J144">_xlfn.XLOOKUP(UPPER(H144), UPPER($B$1:$B$268), $D$1:$D$268)</f>
        <v>29179132473.630383</v>
      </c>
      <c r="L144" t="s">
        <v>148</v>
      </c>
      <c r="M144">
        <v>578.38916015625</v>
      </c>
      <c r="N144">
        <v>29179132473.630383</v>
      </c>
      <c r="R144" s="27" t="s">
        <v>147</v>
      </c>
      <c r="S144" s="27">
        <f t="shared" si="4"/>
        <v>665.10133762419207</v>
      </c>
      <c r="T144" s="27">
        <f t="shared" si="5"/>
        <v>3733092094.5398049</v>
      </c>
    </row>
    <row r="145" spans="1:20" x14ac:dyDescent="0.3">
      <c r="A145" t="s">
        <v>343</v>
      </c>
      <c r="B145" t="s">
        <v>343</v>
      </c>
      <c r="C145" s="10">
        <v>595.15174455931617</v>
      </c>
      <c r="D145" s="10">
        <v>16088387161.446194</v>
      </c>
      <c r="H145" s="11" t="s">
        <v>91</v>
      </c>
      <c r="I145" s="12" cm="1">
        <f t="array" ref="I145">_xlfn.XLOOKUP(UPPER(H145), UPPER($B$1:$B$268), $C$1:$C$268)</f>
        <v>7246.2576795921004</v>
      </c>
      <c r="J145" s="13" cm="1">
        <f t="array" ref="J145">_xlfn.XLOOKUP(UPPER(H145), UPPER($B$1:$B$268), $D$1:$D$268)</f>
        <v>4597250505.9212961</v>
      </c>
      <c r="L145" t="s">
        <v>91</v>
      </c>
      <c r="M145">
        <v>7246.2576795921004</v>
      </c>
      <c r="N145">
        <v>4597250505.9212961</v>
      </c>
      <c r="R145" s="27" t="s">
        <v>148</v>
      </c>
      <c r="S145" s="27">
        <f t="shared" si="4"/>
        <v>578.38916015625</v>
      </c>
      <c r="T145" s="27">
        <f t="shared" si="5"/>
        <v>29179132473.630383</v>
      </c>
    </row>
    <row r="146" spans="1:20" x14ac:dyDescent="0.3">
      <c r="A146" t="s">
        <v>344</v>
      </c>
      <c r="B146" t="s">
        <v>344</v>
      </c>
      <c r="C146" s="10">
        <v>2324.6488120275098</v>
      </c>
      <c r="D146" s="10">
        <v>540898072115.8811</v>
      </c>
      <c r="H146" s="11" t="s">
        <v>345</v>
      </c>
      <c r="I146" s="12" cm="1">
        <f t="array" ref="I146">_xlfn.XLOOKUP(UPPER(H146), UPPER($B$1:$B$268), $C$1:$C$268)</f>
        <v>3864.205505108393</v>
      </c>
      <c r="J146" s="13" cm="1">
        <f t="array" ref="J146">_xlfn.XLOOKUP(UPPER(H146), UPPER($B$1:$B$268), $D$1:$D$268)</f>
        <v>4802519614.2698231</v>
      </c>
      <c r="L146" t="s">
        <v>105</v>
      </c>
      <c r="M146">
        <v>3864.205505108393</v>
      </c>
      <c r="N146">
        <v>4802519614.2698231</v>
      </c>
      <c r="R146" s="27" t="s">
        <v>149</v>
      </c>
      <c r="S146" s="27">
        <f t="shared" si="4"/>
        <v>1137.2900567305433</v>
      </c>
      <c r="T146" s="27">
        <f t="shared" si="5"/>
        <v>9828485690.6466026</v>
      </c>
    </row>
    <row r="147" spans="1:20" x14ac:dyDescent="0.3">
      <c r="A147" t="s">
        <v>346</v>
      </c>
      <c r="B147" s="14" t="s">
        <v>69</v>
      </c>
      <c r="C147" s="10">
        <v>6628.8468659403206</v>
      </c>
      <c r="D147" s="10">
        <v>12093396439.500017</v>
      </c>
      <c r="H147" s="11" t="s">
        <v>19</v>
      </c>
      <c r="I147" s="12" cm="1">
        <f t="array" ref="I147">_xlfn.XLOOKUP(UPPER(H147), UPPER($B$1:$B$268), $C$1:$C$268)</f>
        <v>54209.947426487714</v>
      </c>
      <c r="J147" s="13" cm="1">
        <f t="array" ref="J147">_xlfn.XLOOKUP(UPPER(H147), UPPER($B$1:$B$268), $D$1:$D$268)</f>
        <v>572983369203.27405</v>
      </c>
      <c r="L147" t="s">
        <v>19</v>
      </c>
      <c r="M147">
        <v>54209.947426487714</v>
      </c>
      <c r="N147">
        <v>572983369203.27405</v>
      </c>
      <c r="R147" s="27" t="s">
        <v>150</v>
      </c>
      <c r="S147" s="27">
        <f t="shared" si="4"/>
        <v>554.24412998076605</v>
      </c>
      <c r="T147" s="27">
        <f t="shared" si="5"/>
        <v>60565728422.472641</v>
      </c>
    </row>
    <row r="148" spans="1:20" x14ac:dyDescent="0.3">
      <c r="A148" t="s">
        <v>347</v>
      </c>
      <c r="B148" t="s">
        <v>347</v>
      </c>
      <c r="C148" s="10" t="s">
        <v>182</v>
      </c>
      <c r="D148" s="10" t="s">
        <v>182</v>
      </c>
      <c r="H148" s="11" t="s">
        <v>7</v>
      </c>
      <c r="I148" s="12" cm="1">
        <f t="array" ref="I148">_xlfn.XLOOKUP(UPPER(H148), UPPER($B$1:$B$268), $C$1:$C$268)</f>
        <v>90067.464543116846</v>
      </c>
      <c r="J148" s="13" cm="1">
        <f t="array" ref="J148">_xlfn.XLOOKUP(UPPER(H148), UPPER($B$1:$B$268), $D$1:$D$268)</f>
        <v>811109937475.13135</v>
      </c>
      <c r="L148" t="s">
        <v>7</v>
      </c>
      <c r="M148">
        <v>90067.464543116846</v>
      </c>
      <c r="N148">
        <v>811109937475.13135</v>
      </c>
      <c r="R148" s="27" t="s">
        <v>151</v>
      </c>
      <c r="S148" s="27">
        <f t="shared" si="4"/>
        <v>595.15174455931617</v>
      </c>
      <c r="T148" s="27">
        <f t="shared" si="5"/>
        <v>16088387161.446194</v>
      </c>
    </row>
    <row r="149" spans="1:20" x14ac:dyDescent="0.3">
      <c r="A149" t="s">
        <v>348</v>
      </c>
      <c r="B149" t="s">
        <v>348</v>
      </c>
      <c r="C149" s="10">
        <v>79667.527231477608</v>
      </c>
      <c r="D149" s="10">
        <v>443929688973.89081</v>
      </c>
      <c r="H149" s="11" t="s">
        <v>158</v>
      </c>
      <c r="I149" s="12" t="str" cm="1">
        <f t="array" ref="I149">_xlfn.XLOOKUP(UPPER(H149), UPPER($B$1:$B$268), $C$1:$C$268)</f>
        <v>..</v>
      </c>
      <c r="J149" s="13" t="str" cm="1">
        <f t="array" ref="J149">_xlfn.XLOOKUP(UPPER(H149), UPPER($B$1:$B$268), $D$1:$D$268)</f>
        <v>..</v>
      </c>
      <c r="L149" t="s">
        <v>158</v>
      </c>
      <c r="M149" t="s">
        <v>182</v>
      </c>
      <c r="N149" t="s">
        <v>182</v>
      </c>
      <c r="R149" s="27" t="s">
        <v>152</v>
      </c>
      <c r="S149" s="27">
        <f t="shared" si="4"/>
        <v>551.95152347055955</v>
      </c>
      <c r="T149" s="27">
        <f t="shared" si="5"/>
        <v>11952668098.89068</v>
      </c>
    </row>
    <row r="150" spans="1:20" x14ac:dyDescent="0.3">
      <c r="A150" t="s">
        <v>349</v>
      </c>
      <c r="B150" t="s">
        <v>349</v>
      </c>
      <c r="C150" s="10">
        <v>17347.291133905113</v>
      </c>
      <c r="D150" s="10">
        <v>91620377320.782944</v>
      </c>
      <c r="H150" s="11" t="s">
        <v>137</v>
      </c>
      <c r="I150" s="12" cm="1">
        <f t="array" ref="I150">_xlfn.XLOOKUP(UPPER(H150), UPPER($B$1:$B$268), $C$1:$C$268)</f>
        <v>1496.3381339503744</v>
      </c>
      <c r="J150" s="13" cm="1">
        <f t="array" ref="J150">_xlfn.XLOOKUP(UPPER(H150), UPPER($B$1:$B$268), $D$1:$D$268)</f>
        <v>15847607943.984638</v>
      </c>
      <c r="L150" t="s">
        <v>137</v>
      </c>
      <c r="M150">
        <v>1496.3381339503744</v>
      </c>
      <c r="N150">
        <v>15847607943.984638</v>
      </c>
      <c r="R150" s="27" t="s">
        <v>153</v>
      </c>
      <c r="S150" s="27">
        <f t="shared" si="4"/>
        <v>605.60472084851858</v>
      </c>
      <c r="T150" s="27">
        <f t="shared" si="5"/>
        <v>20973160980.921219</v>
      </c>
    </row>
    <row r="151" spans="1:20" x14ac:dyDescent="0.3">
      <c r="A151" t="s">
        <v>350</v>
      </c>
      <c r="B151" t="s">
        <v>350</v>
      </c>
      <c r="C151" s="10">
        <v>1634.5673526079943</v>
      </c>
      <c r="D151" s="10">
        <v>410716372191.50397</v>
      </c>
      <c r="H151" s="11" t="s">
        <v>136</v>
      </c>
      <c r="I151" s="12" cm="1">
        <f t="array" ref="I151">_xlfn.XLOOKUP(UPPER(H151), UPPER($B$1:$B$268), $C$1:$C$268)</f>
        <v>1120.77416992188</v>
      </c>
      <c r="J151" s="13" cm="1">
        <f t="array" ref="J151">_xlfn.XLOOKUP(UPPER(H151), UPPER($B$1:$B$268), $D$1:$D$268)</f>
        <v>74463225268.464447</v>
      </c>
      <c r="L151" t="s">
        <v>136</v>
      </c>
      <c r="M151">
        <v>1120.77416992188</v>
      </c>
      <c r="N151">
        <v>74463225268.464447</v>
      </c>
      <c r="R151" s="27" t="s">
        <v>154</v>
      </c>
      <c r="S151" s="27">
        <f t="shared" si="4"/>
        <v>467.26991019441482</v>
      </c>
      <c r="T151" s="27">
        <f t="shared" si="5"/>
        <v>8882404280.6420708</v>
      </c>
    </row>
    <row r="152" spans="1:20" x14ac:dyDescent="0.3">
      <c r="A152" t="s">
        <v>351</v>
      </c>
      <c r="B152" t="s">
        <v>351</v>
      </c>
      <c r="C152" s="10" t="s">
        <v>182</v>
      </c>
      <c r="D152" s="10" t="s">
        <v>182</v>
      </c>
      <c r="H152" s="11" t="s">
        <v>78</v>
      </c>
      <c r="I152" s="12" cm="1">
        <f t="array" ref="I152">_xlfn.XLOOKUP(UPPER(H152), UPPER($B$1:$B$268), $C$1:$C$268)</f>
        <v>6574.4610938798487</v>
      </c>
      <c r="J152" s="13" cm="1">
        <f t="array" ref="J152">_xlfn.XLOOKUP(UPPER(H152), UPPER($B$1:$B$268), $D$1:$D$268)</f>
        <v>471178549995.25305</v>
      </c>
      <c r="L152" t="s">
        <v>78</v>
      </c>
      <c r="M152">
        <v>6574.4610938798487</v>
      </c>
      <c r="N152">
        <v>471178549995.25305</v>
      </c>
      <c r="R152" s="27" t="s">
        <v>155</v>
      </c>
      <c r="S152" s="27">
        <f t="shared" si="4"/>
        <v>453.38306700477222</v>
      </c>
      <c r="T152" s="27">
        <f t="shared" si="5"/>
        <v>14492369787.952595</v>
      </c>
    </row>
    <row r="153" spans="1:20" x14ac:dyDescent="0.3">
      <c r="A153" t="s">
        <v>352</v>
      </c>
      <c r="B153" t="s">
        <v>352</v>
      </c>
      <c r="C153" s="10">
        <v>17122.720655566955</v>
      </c>
      <c r="D153" s="10">
        <v>77318963569.703064</v>
      </c>
      <c r="H153" s="11" t="s">
        <v>139</v>
      </c>
      <c r="I153" s="12" cm="1">
        <f t="array" ref="I153">_xlfn.XLOOKUP(UPPER(H153), UPPER($B$1:$B$268), $C$1:$C$268)</f>
        <v>931.02996552985746</v>
      </c>
      <c r="J153" s="13" cm="1">
        <f t="array" ref="J153">_xlfn.XLOOKUP(UPPER(H153), UPPER($B$1:$B$268), $D$1:$D$268)</f>
        <v>8858969845.088459</v>
      </c>
      <c r="L153" t="s">
        <v>139</v>
      </c>
      <c r="M153">
        <v>931.02996552985746</v>
      </c>
      <c r="N153">
        <v>8858969845.088459</v>
      </c>
      <c r="R153" s="27" t="s">
        <v>156</v>
      </c>
      <c r="S153" s="27">
        <f t="shared" si="4"/>
        <v>389.93830796422935</v>
      </c>
      <c r="T153" s="27">
        <f t="shared" si="5"/>
        <v>2078640238.8818378</v>
      </c>
    </row>
    <row r="154" spans="1:20" x14ac:dyDescent="0.3">
      <c r="A154" t="s">
        <v>353</v>
      </c>
      <c r="B154" t="s">
        <v>353</v>
      </c>
      <c r="C154" s="10">
        <v>2564.7374818649341</v>
      </c>
      <c r="D154" s="10">
        <v>27125951106.419441</v>
      </c>
      <c r="H154" s="11" t="s">
        <v>101</v>
      </c>
      <c r="I154" s="12" cm="1">
        <f t="array" ref="I154">_xlfn.XLOOKUP(UPPER(H154), UPPER($B$1:$B$268), $C$1:$C$268)</f>
        <v>4006.2058826744255</v>
      </c>
      <c r="J154" s="13" cm="1">
        <f t="array" ref="J154">_xlfn.XLOOKUP(UPPER(H154), UPPER($B$1:$B$268), $D$1:$D$268)</f>
        <v>49184626298.035133</v>
      </c>
      <c r="L154" t="s">
        <v>101</v>
      </c>
      <c r="M154">
        <v>4006.2058826744255</v>
      </c>
      <c r="N154">
        <v>49184626298.035133</v>
      </c>
      <c r="R154" s="27" t="s">
        <v>157</v>
      </c>
      <c r="S154" s="27" t="str">
        <f t="shared" si="4"/>
        <v>..</v>
      </c>
      <c r="T154" s="27" t="str">
        <f t="shared" si="5"/>
        <v>..</v>
      </c>
    </row>
    <row r="155" spans="1:20" x14ac:dyDescent="0.3">
      <c r="A155" t="s">
        <v>354</v>
      </c>
      <c r="B155" t="s">
        <v>354</v>
      </c>
      <c r="C155" s="10">
        <v>6640.8381661311678</v>
      </c>
      <c r="D155" s="10">
        <v>46015383701.362282</v>
      </c>
      <c r="H155" s="11" t="s">
        <v>355</v>
      </c>
      <c r="I155" s="12" cm="1">
        <f t="array" ref="I155">_xlfn.XLOOKUP(UPPER(H155), UPPER($B$1:$B$268), $C$1:$C$268)</f>
        <v>15395.027889489296</v>
      </c>
      <c r="J155" s="13" cm="1">
        <f t="array" ref="J155">_xlfn.XLOOKUP(UPPER(H155), UPPER($B$1:$B$268), $D$1:$D$268)</f>
        <v>1316562171166.7805</v>
      </c>
      <c r="L155" t="s">
        <v>60</v>
      </c>
      <c r="M155">
        <v>15395.027889489296</v>
      </c>
      <c r="N155">
        <v>1316562171166.7805</v>
      </c>
      <c r="R155" s="27" t="s">
        <v>158</v>
      </c>
      <c r="S155" s="27" t="str">
        <f t="shared" si="4"/>
        <v>..</v>
      </c>
      <c r="T155" s="27" t="str">
        <f t="shared" si="5"/>
        <v>..</v>
      </c>
    </row>
    <row r="156" spans="1:20" x14ac:dyDescent="0.3">
      <c r="A156" t="s">
        <v>356</v>
      </c>
      <c r="B156" t="s">
        <v>356</v>
      </c>
      <c r="C156" s="10">
        <v>6711.1940327252696</v>
      </c>
      <c r="D156" s="10">
        <v>229642617310.30029</v>
      </c>
      <c r="H156" s="11" t="s">
        <v>85</v>
      </c>
      <c r="I156" s="12" cm="1">
        <f t="array" ref="I156">_xlfn.XLOOKUP(UPPER(H156), UPPER($B$1:$B$268), $C$1:$C$268)</f>
        <v>8231.4954426365894</v>
      </c>
      <c r="J156" s="13" cm="1">
        <f t="array" ref="J156">_xlfn.XLOOKUP(UPPER(H156), UPPER($B$1:$B$268), $D$1:$D$268)</f>
        <v>61690926131.84903</v>
      </c>
      <c r="L156" t="s">
        <v>85</v>
      </c>
      <c r="M156">
        <v>8231.4954426365894</v>
      </c>
      <c r="N156">
        <v>61690926131.84903</v>
      </c>
      <c r="R156" s="27" t="s">
        <v>159</v>
      </c>
      <c r="S156" s="27">
        <f t="shared" si="4"/>
        <v>7381.3977404886891</v>
      </c>
      <c r="T156" s="27">
        <f t="shared" si="5"/>
        <v>81046145427.256119</v>
      </c>
    </row>
    <row r="157" spans="1:20" x14ac:dyDescent="0.3">
      <c r="A157" t="s">
        <v>357</v>
      </c>
      <c r="B157" t="s">
        <v>357</v>
      </c>
      <c r="C157" s="10">
        <v>3925.3048697218019</v>
      </c>
      <c r="D157" s="10">
        <v>454721721977.44543</v>
      </c>
      <c r="H157" s="11" t="s">
        <v>142</v>
      </c>
      <c r="I157" s="12" cm="1">
        <f t="array" ref="I157">_xlfn.XLOOKUP(UPPER(H157), UPPER($B$1:$B$268), $C$1:$C$268)</f>
        <v>986.09014536392408</v>
      </c>
      <c r="J157" s="13" cm="1">
        <f t="array" ref="J157">_xlfn.XLOOKUP(UPPER(H157), UPPER($B$1:$B$268), $D$1:$D$268)</f>
        <v>49319389340.670036</v>
      </c>
      <c r="L157" t="s">
        <v>142</v>
      </c>
      <c r="M157">
        <v>986.09014536392408</v>
      </c>
      <c r="N157">
        <v>49319389340.670036</v>
      </c>
      <c r="R157" s="27" t="s">
        <v>160</v>
      </c>
      <c r="S157" s="27" t="e">
        <f t="shared" si="4"/>
        <v>#N/A</v>
      </c>
      <c r="T157" s="27" t="e">
        <f t="shared" si="5"/>
        <v>#N/A</v>
      </c>
    </row>
    <row r="158" spans="1:20" x14ac:dyDescent="0.3">
      <c r="A158" t="s">
        <v>358</v>
      </c>
      <c r="B158" t="s">
        <v>358</v>
      </c>
      <c r="C158" s="10">
        <v>18000.50345912854</v>
      </c>
      <c r="D158" s="10">
        <v>658084600079.5863</v>
      </c>
      <c r="H158" s="11" t="s">
        <v>94</v>
      </c>
      <c r="I158" s="12" cm="1">
        <f t="array" ref="I158">_xlfn.XLOOKUP(UPPER(H158), UPPER($B$1:$B$268), $C$1:$C$268)</f>
        <v>2219.04248046875</v>
      </c>
      <c r="J158" s="13" cm="1">
        <f t="array" ref="J158">_xlfn.XLOOKUP(UPPER(H158), UPPER($B$1:$B$268), $D$1:$D$268)</f>
        <v>78535131747.32251</v>
      </c>
      <c r="L158" t="s">
        <v>94</v>
      </c>
      <c r="M158">
        <v>2219.04248046875</v>
      </c>
      <c r="N158">
        <v>78535131747.32251</v>
      </c>
      <c r="R158" s="27" t="s">
        <v>161</v>
      </c>
      <c r="S158" s="27" t="str">
        <f t="shared" si="4"/>
        <v>..</v>
      </c>
      <c r="T158" s="27" t="str">
        <f t="shared" si="5"/>
        <v>..</v>
      </c>
    </row>
    <row r="159" spans="1:20" x14ac:dyDescent="0.3">
      <c r="A159" t="s">
        <v>359</v>
      </c>
      <c r="B159" t="s">
        <v>359</v>
      </c>
      <c r="C159" s="10">
        <v>22647.379189557902</v>
      </c>
      <c r="D159" s="10">
        <v>242206495918.36029</v>
      </c>
      <c r="H159" s="11" t="s">
        <v>25</v>
      </c>
      <c r="I159" s="12" cm="1">
        <f t="array" ref="I159">_xlfn.XLOOKUP(UPPER(H159), UPPER($B$1:$B$268), $C$1:$C$268)</f>
        <v>41605.416867084365</v>
      </c>
      <c r="J159" s="13" cm="1">
        <f t="array" ref="J159">_xlfn.XLOOKUP(UPPER(H159), UPPER($B$1:$B$268), $D$1:$D$268)</f>
        <v>457093751868.53564</v>
      </c>
      <c r="L159" t="s">
        <v>25</v>
      </c>
      <c r="M159">
        <v>41605.416867084365</v>
      </c>
      <c r="N159">
        <v>457093751868.53564</v>
      </c>
      <c r="R159" s="27" t="s">
        <v>162</v>
      </c>
      <c r="S159" s="27" t="e">
        <f t="shared" si="4"/>
        <v>#N/A</v>
      </c>
      <c r="T159" s="27" t="e">
        <f t="shared" si="5"/>
        <v>#N/A</v>
      </c>
    </row>
    <row r="160" spans="1:20" x14ac:dyDescent="0.3">
      <c r="A160" t="s">
        <v>360</v>
      </c>
      <c r="B160" t="s">
        <v>360</v>
      </c>
      <c r="C160" s="10">
        <v>30971.262055019059</v>
      </c>
      <c r="D160" s="10">
        <v>99210088884.532272</v>
      </c>
      <c r="H160" s="11" t="s">
        <v>24</v>
      </c>
      <c r="I160" s="12" cm="1">
        <f t="array" ref="I160">_xlfn.XLOOKUP(UPPER(H160), UPPER($B$1:$B$268), $C$1:$C$268)</f>
        <v>47960.910576194154</v>
      </c>
      <c r="J160" s="13" cm="1">
        <f t="array" ref="J160">_xlfn.XLOOKUP(UPPER(H160), UPPER($B$1:$B$268), $D$1:$D$268)</f>
        <v>3320141995547.6167</v>
      </c>
      <c r="L160" t="s">
        <v>24</v>
      </c>
      <c r="M160">
        <v>47960.910576194154</v>
      </c>
      <c r="N160">
        <v>3320141995547.6167</v>
      </c>
      <c r="R160" s="27" t="s">
        <v>163</v>
      </c>
      <c r="S160" s="27" t="e">
        <f t="shared" si="4"/>
        <v>#N/A</v>
      </c>
      <c r="T160" s="27" t="e">
        <f t="shared" si="5"/>
        <v>#N/A</v>
      </c>
    </row>
    <row r="161" spans="1:20" x14ac:dyDescent="0.3">
      <c r="A161" t="s">
        <v>361</v>
      </c>
      <c r="B161" t="s">
        <v>361</v>
      </c>
      <c r="C161" s="10">
        <v>62157.375179184797</v>
      </c>
      <c r="D161" s="10">
        <v>177634714249.32825</v>
      </c>
      <c r="H161" s="11" t="s">
        <v>12</v>
      </c>
      <c r="I161" s="12" cm="1">
        <f t="array" ref="I161">_xlfn.XLOOKUP(UPPER(H161), UPPER($B$1:$B$268), $C$1:$C$268)</f>
        <v>66356.170675010115</v>
      </c>
      <c r="J161" s="13" cm="1">
        <f t="array" ref="J161">_xlfn.XLOOKUP(UPPER(H161), UPPER($B$1:$B$268), $D$1:$D$268)</f>
        <v>22568462768174.316</v>
      </c>
      <c r="L161" t="s">
        <v>12</v>
      </c>
      <c r="M161">
        <v>66356.170675010115</v>
      </c>
      <c r="N161">
        <v>22568462768174.316</v>
      </c>
      <c r="R161" s="27" t="s">
        <v>164</v>
      </c>
      <c r="S161" s="27" t="e">
        <f t="shared" si="4"/>
        <v>#N/A</v>
      </c>
      <c r="T161" s="27" t="e">
        <f t="shared" si="5"/>
        <v>#N/A</v>
      </c>
    </row>
    <row r="162" spans="1:20" x14ac:dyDescent="0.3">
      <c r="A162" t="s">
        <v>362</v>
      </c>
      <c r="B162" t="s">
        <v>362</v>
      </c>
      <c r="C162" s="10">
        <v>12459.911206189136</v>
      </c>
      <c r="D162" s="10">
        <v>237383786157.71899</v>
      </c>
      <c r="H162" s="11" t="s">
        <v>45</v>
      </c>
      <c r="I162" s="12" cm="1">
        <f t="array" ref="I162">_xlfn.XLOOKUP(UPPER(H162), UPPER($B$1:$B$268), $C$1:$C$268)</f>
        <v>18958.603329353653</v>
      </c>
      <c r="J162" s="13" cm="1">
        <f t="array" ref="J162">_xlfn.XLOOKUP(UPPER(H162), UPPER($B$1:$B$268), $D$1:$D$268)</f>
        <v>64204978531.949135</v>
      </c>
      <c r="L162" t="s">
        <v>45</v>
      </c>
      <c r="M162">
        <v>18958.603329353653</v>
      </c>
      <c r="N162">
        <v>64204978531.949135</v>
      </c>
      <c r="R162" s="27" t="s">
        <v>165</v>
      </c>
      <c r="S162" s="27" t="e">
        <f t="shared" si="4"/>
        <v>#N/A</v>
      </c>
      <c r="T162" s="27" t="e">
        <f t="shared" si="5"/>
        <v>#N/A</v>
      </c>
    </row>
    <row r="163" spans="1:20" x14ac:dyDescent="0.3">
      <c r="A163" t="s">
        <v>363</v>
      </c>
      <c r="B163" t="s">
        <v>363</v>
      </c>
      <c r="C163" s="10">
        <v>11043.259765625</v>
      </c>
      <c r="D163" s="10">
        <v>1612344875264.3628</v>
      </c>
      <c r="H163" s="11" t="s">
        <v>113</v>
      </c>
      <c r="I163" s="12" cm="1">
        <f t="array" ref="I163">_xlfn.XLOOKUP(UPPER(H163), UPPER($B$1:$B$268), $C$1:$C$268)</f>
        <v>3890.4159307501541</v>
      </c>
      <c r="J163" s="13" cm="1">
        <f t="array" ref="J163">_xlfn.XLOOKUP(UPPER(H163), UPPER($B$1:$B$268), $D$1:$D$268)</f>
        <v>141462755525.29086</v>
      </c>
      <c r="L163" t="s">
        <v>113</v>
      </c>
      <c r="M163">
        <v>3890.4159307501541</v>
      </c>
      <c r="N163">
        <v>141462755525.29086</v>
      </c>
      <c r="R163" s="27" t="s">
        <v>166</v>
      </c>
      <c r="S163" s="27" t="str">
        <f t="shared" si="4"/>
        <v>..</v>
      </c>
      <c r="T163" s="27" t="str">
        <f t="shared" si="5"/>
        <v>..</v>
      </c>
    </row>
    <row r="164" spans="1:20" x14ac:dyDescent="0.3">
      <c r="A164" t="s">
        <v>364</v>
      </c>
      <c r="B164" t="s">
        <v>364</v>
      </c>
      <c r="C164" s="10">
        <v>1070.4500377092575</v>
      </c>
      <c r="D164" s="10">
        <v>15260942682.754557</v>
      </c>
      <c r="H164" s="11" t="s">
        <v>365</v>
      </c>
      <c r="I164" s="12" cm="1">
        <f t="array" ref="I164">_xlfn.XLOOKUP(UPPER(H164), UPPER($B$1:$B$268), $C$1:$C$268)</f>
        <v>1501.0227744988508</v>
      </c>
      <c r="J164" s="13" cm="1">
        <f t="array" ref="J164">_xlfn.XLOOKUP(UPPER(H164), UPPER($B$1:$B$268), $D$1:$D$268)</f>
        <v>42637366965.006409</v>
      </c>
      <c r="L164" t="s">
        <v>106</v>
      </c>
      <c r="M164">
        <v>1501.0227744988508</v>
      </c>
      <c r="N164">
        <v>42637366965.006409</v>
      </c>
      <c r="R164" s="27" t="s">
        <v>167</v>
      </c>
      <c r="S164" s="27" t="e">
        <f t="shared" si="4"/>
        <v>#N/A</v>
      </c>
      <c r="T164" s="27" t="e">
        <f t="shared" si="5"/>
        <v>#N/A</v>
      </c>
    </row>
    <row r="165" spans="1:20" x14ac:dyDescent="0.3">
      <c r="A165" t="s">
        <v>366</v>
      </c>
      <c r="B165" t="s">
        <v>366</v>
      </c>
      <c r="C165" s="10">
        <v>4880.5441803205595</v>
      </c>
      <c r="D165" s="10">
        <v>1064051361.649308</v>
      </c>
      <c r="H165" s="11" t="s">
        <v>98</v>
      </c>
      <c r="I165" s="12" cm="1">
        <f t="array" ref="I165">_xlfn.XLOOKUP(UPPER(H165), UPPER($B$1:$B$268), $C$1:$C$268)</f>
        <v>4017.7460411155357</v>
      </c>
      <c r="J165" s="13" cm="1">
        <f t="array" ref="J165">_xlfn.XLOOKUP(UPPER(H165), UPPER($B$1:$B$268), $D$1:$D$268)</f>
        <v>405742875627.91882</v>
      </c>
      <c r="L165" t="s">
        <v>98</v>
      </c>
      <c r="M165">
        <v>4017.7460411155357</v>
      </c>
      <c r="N165">
        <v>405742875627.91882</v>
      </c>
      <c r="R165" s="27" t="s">
        <v>168</v>
      </c>
      <c r="S165" s="27" t="e">
        <f t="shared" si="4"/>
        <v>#N/A</v>
      </c>
      <c r="T165" s="27" t="e">
        <f t="shared" si="5"/>
        <v>#N/A</v>
      </c>
    </row>
    <row r="166" spans="1:20" x14ac:dyDescent="0.3">
      <c r="A166" t="s">
        <v>367</v>
      </c>
      <c r="B166" t="s">
        <v>367</v>
      </c>
      <c r="C166" s="10" t="s">
        <v>182</v>
      </c>
      <c r="D166" s="10" t="s">
        <v>182</v>
      </c>
      <c r="H166" s="11" t="s">
        <v>368</v>
      </c>
      <c r="I166" s="12" t="str" cm="1">
        <f t="array" ref="I166">_xlfn.XLOOKUP(UPPER(H166), UPPER($B$1:$B$268), $C$1:$C$268)</f>
        <v>..</v>
      </c>
      <c r="J166" s="13" t="str" cm="1">
        <f t="array" ref="J166">_xlfn.XLOOKUP(UPPER(H166), UPPER($B$1:$B$268), $D$1:$D$268)</f>
        <v>..</v>
      </c>
      <c r="L166" t="s">
        <v>171</v>
      </c>
      <c r="M166" t="s">
        <v>182</v>
      </c>
      <c r="N166" t="s">
        <v>182</v>
      </c>
      <c r="R166" s="27" t="s">
        <v>169</v>
      </c>
      <c r="S166" s="27" t="e">
        <f t="shared" si="4"/>
        <v>#N/A</v>
      </c>
      <c r="T166" s="27" t="e">
        <f t="shared" si="5"/>
        <v>#N/A</v>
      </c>
    </row>
    <row r="167" spans="1:20" x14ac:dyDescent="0.3">
      <c r="A167" t="s">
        <v>369</v>
      </c>
      <c r="B167" t="s">
        <v>369</v>
      </c>
      <c r="C167" s="10">
        <v>1368.1434755401949</v>
      </c>
      <c r="D167" s="10">
        <v>322247041.65483534</v>
      </c>
      <c r="G167" t="s">
        <v>286</v>
      </c>
      <c r="H167" s="11" t="s">
        <v>370</v>
      </c>
      <c r="I167" s="12" t="e" cm="1">
        <f t="array" ref="I167">_xlfn.XLOOKUP(UPPER(H167), UPPER($B$1:$B$268), $C$1:$C$268)</f>
        <v>#N/A</v>
      </c>
      <c r="J167" s="13" t="e" cm="1">
        <f t="array" ref="J167">_xlfn.XLOOKUP(UPPER(H167), UPPER($B$1:$B$268), $D$1:$D$268)</f>
        <v>#N/A</v>
      </c>
      <c r="L167" t="s">
        <v>164</v>
      </c>
      <c r="M167" t="e">
        <v>#N/A</v>
      </c>
      <c r="N167" t="e">
        <v>#N/A</v>
      </c>
      <c r="R167" s="27" t="s">
        <v>170</v>
      </c>
      <c r="S167" s="27" t="str">
        <f t="shared" si="4"/>
        <v>..</v>
      </c>
      <c r="T167" s="27" t="str">
        <f t="shared" si="5"/>
        <v>..</v>
      </c>
    </row>
    <row r="168" spans="1:20" x14ac:dyDescent="0.3">
      <c r="A168" t="s">
        <v>371</v>
      </c>
      <c r="B168" t="s">
        <v>371</v>
      </c>
      <c r="C168" s="10">
        <v>24963.332213909456</v>
      </c>
      <c r="D168" s="10">
        <v>881212616884.02368</v>
      </c>
      <c r="H168" s="11" t="s">
        <v>372</v>
      </c>
      <c r="I168" s="12" t="str" cm="1">
        <f t="array" ref="I168">_xlfn.XLOOKUP(UPPER(H168), UPPER($B$1:$B$268), $C$1:$C$268)</f>
        <v>..</v>
      </c>
      <c r="J168" s="13" t="str" cm="1">
        <f t="array" ref="J168">_xlfn.XLOOKUP(UPPER(H168), UPPER($B$1:$B$268), $D$1:$D$268)</f>
        <v>..</v>
      </c>
      <c r="L168" t="s">
        <v>166</v>
      </c>
      <c r="M168" t="s">
        <v>182</v>
      </c>
      <c r="N168" t="s">
        <v>182</v>
      </c>
      <c r="R168" s="27" t="s">
        <v>171</v>
      </c>
      <c r="S168" s="27" t="str">
        <f t="shared" si="4"/>
        <v>..</v>
      </c>
      <c r="T168" s="27" t="str">
        <f t="shared" si="5"/>
        <v>..</v>
      </c>
    </row>
    <row r="169" spans="1:20" x14ac:dyDescent="0.3">
      <c r="A169" t="s">
        <v>373</v>
      </c>
      <c r="B169" t="s">
        <v>373</v>
      </c>
      <c r="C169" s="10">
        <v>1511.8928067023369</v>
      </c>
      <c r="D169" s="10">
        <v>27973016519.321728</v>
      </c>
      <c r="H169" s="11" t="s">
        <v>134</v>
      </c>
      <c r="I169" s="12" cm="1">
        <f t="array" ref="I169">_xlfn.XLOOKUP(UPPER(H169), UPPER($B$1:$B$268), $C$1:$C$268)</f>
        <v>1343.3896638035292</v>
      </c>
      <c r="J169" s="13" cm="1">
        <f t="array" ref="J169">_xlfn.XLOOKUP(UPPER(H169), UPPER($B$1:$B$268), $D$1:$D$268)</f>
        <v>28634291574.827019</v>
      </c>
      <c r="L169" t="s">
        <v>134</v>
      </c>
      <c r="M169">
        <v>1343.3896638035292</v>
      </c>
      <c r="N169">
        <v>28634291574.827019</v>
      </c>
      <c r="R169" s="27" t="s">
        <v>172</v>
      </c>
      <c r="S169" s="27" t="str">
        <f t="shared" si="4"/>
        <v>..</v>
      </c>
      <c r="T169" s="27" t="str">
        <f t="shared" si="5"/>
        <v>..</v>
      </c>
    </row>
    <row r="170" spans="1:20" ht="14.5" thickBot="1" x14ac:dyDescent="0.35">
      <c r="A170" t="s">
        <v>374</v>
      </c>
      <c r="B170" t="s">
        <v>374</v>
      </c>
      <c r="C170" s="10">
        <v>8580.2610582325888</v>
      </c>
      <c r="D170" s="10">
        <v>56513683533.783546</v>
      </c>
      <c r="H170" s="15" t="s">
        <v>121</v>
      </c>
      <c r="I170" s="16" cm="1">
        <f t="array" ref="I170">_xlfn.XLOOKUP(UPPER(H170), UPPER($B$1:$B$268), $C$1:$C$268)</f>
        <v>1417.7189411585307</v>
      </c>
      <c r="J170" s="17" cm="1">
        <f t="array" ref="J170">_xlfn.XLOOKUP(UPPER(H170), UPPER($B$1:$B$268), $D$1:$D$268)</f>
        <v>23582865676.396053</v>
      </c>
      <c r="L170" t="s">
        <v>121</v>
      </c>
      <c r="M170">
        <v>1417.7189411585307</v>
      </c>
      <c r="N170">
        <v>23582865676.396053</v>
      </c>
      <c r="R170" s="27" t="s">
        <v>173</v>
      </c>
      <c r="S170" s="27" t="str">
        <f t="shared" si="4"/>
        <v>..</v>
      </c>
      <c r="T170" s="27" t="str">
        <f t="shared" si="5"/>
        <v>..</v>
      </c>
    </row>
    <row r="171" spans="1:20" x14ac:dyDescent="0.3">
      <c r="A171" t="s">
        <v>375</v>
      </c>
      <c r="B171" t="s">
        <v>375</v>
      </c>
      <c r="C171" s="10">
        <v>16586.407496478081</v>
      </c>
      <c r="D171" s="10">
        <v>2012826895.3276012</v>
      </c>
    </row>
    <row r="172" spans="1:20" x14ac:dyDescent="0.3">
      <c r="A172" t="s">
        <v>376</v>
      </c>
      <c r="B172" t="s">
        <v>376</v>
      </c>
      <c r="C172" s="10">
        <v>1137.2900567305433</v>
      </c>
      <c r="D172" s="10">
        <v>9828485690.6466026</v>
      </c>
    </row>
    <row r="173" spans="1:20" x14ac:dyDescent="0.3">
      <c r="A173" t="s">
        <v>377</v>
      </c>
      <c r="B173" t="s">
        <v>377</v>
      </c>
      <c r="C173" s="10">
        <v>67706.833614973919</v>
      </c>
      <c r="D173" s="10">
        <v>408736675576.89142</v>
      </c>
    </row>
    <row r="174" spans="1:20" x14ac:dyDescent="0.3">
      <c r="A174" t="s">
        <v>378</v>
      </c>
      <c r="B174" t="s">
        <v>378</v>
      </c>
      <c r="C174" s="10">
        <v>34840.18089668722</v>
      </c>
      <c r="D174" s="10">
        <v>1510321841.8713908</v>
      </c>
    </row>
    <row r="175" spans="1:20" x14ac:dyDescent="0.3">
      <c r="A175" t="s">
        <v>379</v>
      </c>
      <c r="B175" s="14" t="s">
        <v>43</v>
      </c>
      <c r="C175" s="10">
        <v>19776.175806949843</v>
      </c>
      <c r="D175" s="10">
        <v>107227789781.41272</v>
      </c>
    </row>
    <row r="176" spans="1:20" x14ac:dyDescent="0.3">
      <c r="A176" t="s">
        <v>380</v>
      </c>
      <c r="B176" t="s">
        <v>380</v>
      </c>
      <c r="C176" s="10">
        <v>26134.627203986995</v>
      </c>
      <c r="D176" s="10">
        <v>55598805913.761932</v>
      </c>
    </row>
    <row r="177" spans="1:4" x14ac:dyDescent="0.3">
      <c r="A177" t="s">
        <v>381</v>
      </c>
      <c r="B177" t="s">
        <v>381</v>
      </c>
      <c r="C177" s="10">
        <v>1806.3836732438724</v>
      </c>
      <c r="D177" s="10">
        <v>1479785892.3540337</v>
      </c>
    </row>
    <row r="178" spans="1:4" x14ac:dyDescent="0.3">
      <c r="A178" t="s">
        <v>382</v>
      </c>
      <c r="B178" s="14" t="s">
        <v>154</v>
      </c>
      <c r="C178" s="10">
        <v>467.26991019441482</v>
      </c>
      <c r="D178" s="10">
        <v>8882404280.6420708</v>
      </c>
    </row>
    <row r="179" spans="1:4" x14ac:dyDescent="0.3">
      <c r="A179" t="s">
        <v>383</v>
      </c>
      <c r="B179" t="s">
        <v>383</v>
      </c>
      <c r="C179" s="10">
        <v>5715.4753146914782</v>
      </c>
      <c r="D179" s="10">
        <v>365831497261.34131</v>
      </c>
    </row>
    <row r="180" spans="1:4" x14ac:dyDescent="0.3">
      <c r="A180" t="s">
        <v>384</v>
      </c>
      <c r="B180" t="s">
        <v>384</v>
      </c>
      <c r="C180" s="10" t="s">
        <v>182</v>
      </c>
      <c r="D180" s="10" t="s">
        <v>182</v>
      </c>
    </row>
    <row r="181" spans="1:4" x14ac:dyDescent="0.3">
      <c r="A181" t="s">
        <v>385</v>
      </c>
      <c r="B181" t="s">
        <v>385</v>
      </c>
      <c r="C181" s="10">
        <v>29245.21924517295</v>
      </c>
      <c r="D181" s="10">
        <v>1428595035672.3743</v>
      </c>
    </row>
    <row r="182" spans="1:4" x14ac:dyDescent="0.3">
      <c r="A182" t="s">
        <v>386</v>
      </c>
      <c r="B182" s="14" t="s">
        <v>104</v>
      </c>
      <c r="C182" s="10">
        <v>4186.4986638365035</v>
      </c>
      <c r="D182" s="10">
        <v>91751304716.640808</v>
      </c>
    </row>
    <row r="183" spans="1:4" x14ac:dyDescent="0.3">
      <c r="A183" t="s">
        <v>387</v>
      </c>
      <c r="B183" t="s">
        <v>387</v>
      </c>
      <c r="C183" s="10">
        <v>21692.240639287229</v>
      </c>
      <c r="D183" s="10">
        <v>1016129628.2661316</v>
      </c>
    </row>
    <row r="184" spans="1:4" x14ac:dyDescent="0.3">
      <c r="A184" t="s">
        <v>388</v>
      </c>
      <c r="B184" t="s">
        <v>388</v>
      </c>
      <c r="C184" s="10">
        <v>11854.951723323695</v>
      </c>
      <c r="D184" s="10">
        <v>2130856442.5570943</v>
      </c>
    </row>
    <row r="185" spans="1:4" x14ac:dyDescent="0.3">
      <c r="A185" t="s">
        <v>389</v>
      </c>
      <c r="B185" t="s">
        <v>389</v>
      </c>
      <c r="C185" s="10" t="s">
        <v>182</v>
      </c>
      <c r="D185" s="10" t="s">
        <v>182</v>
      </c>
    </row>
    <row r="186" spans="1:4" x14ac:dyDescent="0.3">
      <c r="A186" t="s">
        <v>390</v>
      </c>
      <c r="B186" t="s">
        <v>390</v>
      </c>
      <c r="C186" s="10">
        <v>9485.1877120168592</v>
      </c>
      <c r="D186" s="10">
        <v>954361646.83228838</v>
      </c>
    </row>
    <row r="187" spans="1:4" x14ac:dyDescent="0.3">
      <c r="A187" t="s">
        <v>391</v>
      </c>
      <c r="B187" t="s">
        <v>391</v>
      </c>
      <c r="C187" s="10">
        <v>578.38916015625</v>
      </c>
      <c r="D187" s="10">
        <v>29179132473.630383</v>
      </c>
    </row>
    <row r="188" spans="1:4" x14ac:dyDescent="0.3">
      <c r="A188" t="s">
        <v>392</v>
      </c>
      <c r="B188" t="s">
        <v>392</v>
      </c>
      <c r="C188" s="10">
        <v>7246.2576795921004</v>
      </c>
      <c r="D188" s="10">
        <v>4597250505.9212961</v>
      </c>
    </row>
    <row r="189" spans="1:4" x14ac:dyDescent="0.3">
      <c r="A189" t="s">
        <v>393</v>
      </c>
      <c r="B189" t="s">
        <v>393</v>
      </c>
      <c r="C189" s="10">
        <v>54209.947426487714</v>
      </c>
      <c r="D189" s="10">
        <v>572983369203.27405</v>
      </c>
    </row>
    <row r="190" spans="1:4" x14ac:dyDescent="0.3">
      <c r="A190" t="s">
        <v>394</v>
      </c>
      <c r="B190" t="s">
        <v>394</v>
      </c>
      <c r="C190" s="10">
        <v>90067.464543116846</v>
      </c>
      <c r="D190" s="10">
        <v>811109937475.13135</v>
      </c>
    </row>
    <row r="191" spans="1:4" x14ac:dyDescent="0.3">
      <c r="A191" t="s">
        <v>395</v>
      </c>
      <c r="B191" t="s">
        <v>395</v>
      </c>
      <c r="C191" s="10" t="s">
        <v>182</v>
      </c>
      <c r="D191" s="10" t="s">
        <v>182</v>
      </c>
    </row>
    <row r="192" spans="1:4" x14ac:dyDescent="0.3">
      <c r="A192" t="s">
        <v>396</v>
      </c>
      <c r="B192" t="s">
        <v>396</v>
      </c>
      <c r="C192" s="10">
        <v>1496.3381339503744</v>
      </c>
      <c r="D192" s="10">
        <v>15847607943.984638</v>
      </c>
    </row>
    <row r="193" spans="1:4" x14ac:dyDescent="0.3">
      <c r="A193" t="s">
        <v>397</v>
      </c>
      <c r="B193" t="s">
        <v>397</v>
      </c>
      <c r="C193" s="10">
        <v>1120.77416992188</v>
      </c>
      <c r="D193" s="10">
        <v>74463225268.464447</v>
      </c>
    </row>
    <row r="194" spans="1:4" x14ac:dyDescent="0.3">
      <c r="A194" t="s">
        <v>398</v>
      </c>
      <c r="B194" t="s">
        <v>398</v>
      </c>
      <c r="C194" s="10">
        <v>6574.4610938798487</v>
      </c>
      <c r="D194" s="10">
        <v>471178549995.25305</v>
      </c>
    </row>
    <row r="195" spans="1:4" x14ac:dyDescent="0.3">
      <c r="A195" t="s">
        <v>399</v>
      </c>
      <c r="B195" t="s">
        <v>399</v>
      </c>
      <c r="C195" s="10">
        <v>1149.21888298011</v>
      </c>
      <c r="D195" s="10">
        <v>1609639637.8194954</v>
      </c>
    </row>
    <row r="196" spans="1:4" x14ac:dyDescent="0.3">
      <c r="A196" t="s">
        <v>400</v>
      </c>
      <c r="B196" t="s">
        <v>400</v>
      </c>
      <c r="C196" s="10">
        <v>931.02996552985746</v>
      </c>
      <c r="D196" s="10">
        <v>8858969845.088459</v>
      </c>
    </row>
    <row r="197" spans="1:4" x14ac:dyDescent="0.3">
      <c r="A197" t="s">
        <v>401</v>
      </c>
      <c r="B197" t="s">
        <v>401</v>
      </c>
      <c r="C197" s="10" t="s">
        <v>182</v>
      </c>
      <c r="D197" s="10" t="s">
        <v>182</v>
      </c>
    </row>
    <row r="198" spans="1:4" x14ac:dyDescent="0.3">
      <c r="A198" t="s">
        <v>402</v>
      </c>
      <c r="B198" t="s">
        <v>402</v>
      </c>
      <c r="C198" s="10">
        <v>16312.484955571577</v>
      </c>
      <c r="D198" s="10">
        <v>22320911476.712124</v>
      </c>
    </row>
    <row r="199" spans="1:4" x14ac:dyDescent="0.3">
      <c r="A199" t="s">
        <v>403</v>
      </c>
      <c r="B199" t="s">
        <v>403</v>
      </c>
      <c r="C199" s="10">
        <v>4006.2058826744255</v>
      </c>
      <c r="D199" s="10">
        <v>49184626298.035133</v>
      </c>
    </row>
    <row r="200" spans="1:4" x14ac:dyDescent="0.3">
      <c r="A200" t="s">
        <v>404</v>
      </c>
      <c r="B200" s="14" t="s">
        <v>60</v>
      </c>
      <c r="C200" s="10">
        <v>15395.027889489296</v>
      </c>
      <c r="D200" s="10">
        <v>1316562171166.7805</v>
      </c>
    </row>
    <row r="201" spans="1:4" x14ac:dyDescent="0.3">
      <c r="A201" t="s">
        <v>405</v>
      </c>
      <c r="B201" t="s">
        <v>405</v>
      </c>
      <c r="C201" s="10">
        <v>8231.4954426365894</v>
      </c>
      <c r="D201" s="10">
        <v>61690926131.84903</v>
      </c>
    </row>
    <row r="202" spans="1:4" x14ac:dyDescent="0.3">
      <c r="A202" t="s">
        <v>406</v>
      </c>
      <c r="B202" t="s">
        <v>406</v>
      </c>
      <c r="C202" s="10">
        <v>57179.296018759997</v>
      </c>
      <c r="D202" s="10">
        <v>2660838540.2329965</v>
      </c>
    </row>
    <row r="203" spans="1:4" x14ac:dyDescent="0.3">
      <c r="A203" t="s">
        <v>407</v>
      </c>
      <c r="B203" t="s">
        <v>407</v>
      </c>
      <c r="C203" s="10" t="s">
        <v>182</v>
      </c>
      <c r="D203" s="10" t="s">
        <v>182</v>
      </c>
    </row>
    <row r="204" spans="1:4" x14ac:dyDescent="0.3">
      <c r="A204" t="s">
        <v>408</v>
      </c>
      <c r="B204" t="s">
        <v>408</v>
      </c>
      <c r="C204" s="10">
        <v>986.09014536392408</v>
      </c>
      <c r="D204" s="10">
        <v>49319389340.670036</v>
      </c>
    </row>
    <row r="205" spans="1:4" x14ac:dyDescent="0.3">
      <c r="A205" t="s">
        <v>409</v>
      </c>
      <c r="B205" t="s">
        <v>409</v>
      </c>
      <c r="C205" s="10">
        <v>2219.04248046875</v>
      </c>
      <c r="D205" s="10">
        <v>78535131747.32251</v>
      </c>
    </row>
    <row r="206" spans="1:4" x14ac:dyDescent="0.3">
      <c r="A206" t="s">
        <v>410</v>
      </c>
      <c r="B206" t="s">
        <v>410</v>
      </c>
      <c r="C206" s="10">
        <v>41605.416867084365</v>
      </c>
      <c r="D206" s="10">
        <v>457093751868.53564</v>
      </c>
    </row>
    <row r="207" spans="1:4" x14ac:dyDescent="0.3">
      <c r="A207" t="s">
        <v>411</v>
      </c>
      <c r="B207" t="s">
        <v>411</v>
      </c>
      <c r="C207" s="10">
        <v>47960.910576194154</v>
      </c>
      <c r="D207" s="10">
        <v>3320141995547.6167</v>
      </c>
    </row>
    <row r="208" spans="1:4" x14ac:dyDescent="0.3">
      <c r="A208" t="s">
        <v>412</v>
      </c>
      <c r="B208" t="s">
        <v>412</v>
      </c>
      <c r="C208" s="10">
        <v>66356.170675010115</v>
      </c>
      <c r="D208" s="10">
        <v>22568462768174.316</v>
      </c>
    </row>
    <row r="209" spans="1:4" x14ac:dyDescent="0.3">
      <c r="A209" t="s">
        <v>413</v>
      </c>
      <c r="B209" t="s">
        <v>413</v>
      </c>
      <c r="C209" s="10">
        <v>18958.603329353653</v>
      </c>
      <c r="D209" s="10">
        <v>64204978531.949135</v>
      </c>
    </row>
    <row r="210" spans="1:4" x14ac:dyDescent="0.3">
      <c r="A210" t="s">
        <v>414</v>
      </c>
      <c r="B210" t="s">
        <v>414</v>
      </c>
      <c r="C210" s="10">
        <v>3890.4159307501541</v>
      </c>
      <c r="D210" s="10">
        <v>141462755525.29086</v>
      </c>
    </row>
    <row r="211" spans="1:4" x14ac:dyDescent="0.3">
      <c r="A211" t="s">
        <v>415</v>
      </c>
      <c r="B211" t="s">
        <v>415</v>
      </c>
      <c r="C211" s="10">
        <v>2697.0918325453317</v>
      </c>
      <c r="D211" s="10">
        <v>884044669.59621119</v>
      </c>
    </row>
    <row r="212" spans="1:4" x14ac:dyDescent="0.3">
      <c r="A212" t="s">
        <v>416</v>
      </c>
      <c r="B212" s="14" t="s">
        <v>106</v>
      </c>
      <c r="C212" s="10">
        <v>1501.0227744988508</v>
      </c>
      <c r="D212" s="10">
        <v>42637366965.006409</v>
      </c>
    </row>
    <row r="213" spans="1:4" x14ac:dyDescent="0.3">
      <c r="A213" t="s">
        <v>417</v>
      </c>
      <c r="B213" t="s">
        <v>417</v>
      </c>
      <c r="C213" s="10">
        <v>4017.7460411155357</v>
      </c>
      <c r="D213" s="10">
        <v>405742875627.91882</v>
      </c>
    </row>
    <row r="214" spans="1:4" x14ac:dyDescent="0.3">
      <c r="A214" t="s">
        <v>418</v>
      </c>
      <c r="B214" s="14" t="s">
        <v>171</v>
      </c>
      <c r="C214" s="10" t="s">
        <v>182</v>
      </c>
      <c r="D214" s="10" t="s">
        <v>182</v>
      </c>
    </row>
    <row r="215" spans="1:4" x14ac:dyDescent="0.3">
      <c r="A215" t="s">
        <v>419</v>
      </c>
      <c r="B215" t="s">
        <v>419</v>
      </c>
      <c r="C215" s="10">
        <v>2072.0901951768456</v>
      </c>
      <c r="D215" s="10">
        <v>10959600000.000002</v>
      </c>
    </row>
    <row r="216" spans="1:4" x14ac:dyDescent="0.3">
      <c r="A216" t="s">
        <v>420</v>
      </c>
      <c r="B216" s="14" t="s">
        <v>166</v>
      </c>
      <c r="C216" s="10" t="s">
        <v>182</v>
      </c>
      <c r="D216" s="10" t="s">
        <v>182</v>
      </c>
    </row>
    <row r="217" spans="1:4" x14ac:dyDescent="0.3">
      <c r="A217" t="s">
        <v>421</v>
      </c>
      <c r="B217" t="s">
        <v>421</v>
      </c>
      <c r="C217" s="10">
        <v>1343.3896638035292</v>
      </c>
      <c r="D217" s="10">
        <v>28634291574.827019</v>
      </c>
    </row>
    <row r="218" spans="1:4" x14ac:dyDescent="0.3">
      <c r="A218" t="s">
        <v>422</v>
      </c>
      <c r="B218" t="s">
        <v>422</v>
      </c>
      <c r="C218" s="10">
        <v>1417.7189411585307</v>
      </c>
      <c r="D218" s="10">
        <v>23582865676.396053</v>
      </c>
    </row>
    <row r="219" spans="1:4" x14ac:dyDescent="0.3">
      <c r="A219" t="s">
        <v>423</v>
      </c>
      <c r="B219" t="s">
        <v>423</v>
      </c>
      <c r="C219" s="10">
        <v>1435.3562777433642</v>
      </c>
      <c r="D219" s="10">
        <v>1104192151938.7898</v>
      </c>
    </row>
    <row r="220" spans="1:4" x14ac:dyDescent="0.3">
      <c r="A220" t="s">
        <v>424</v>
      </c>
      <c r="B220" t="s">
        <v>424</v>
      </c>
      <c r="C220" s="10">
        <v>1816.3460438029913</v>
      </c>
      <c r="D220" s="10">
        <v>947704115241.12329</v>
      </c>
    </row>
    <row r="221" spans="1:4" x14ac:dyDescent="0.3">
      <c r="A221" t="s">
        <v>425</v>
      </c>
      <c r="B221" t="s">
        <v>425</v>
      </c>
      <c r="C221" s="10">
        <v>6282.0327428408955</v>
      </c>
      <c r="D221" s="10">
        <v>3094608683761.0327</v>
      </c>
    </row>
    <row r="222" spans="1:4" x14ac:dyDescent="0.3">
      <c r="A222" t="s">
        <v>426</v>
      </c>
      <c r="B222" t="s">
        <v>426</v>
      </c>
      <c r="C222" s="10">
        <v>18582.684998492492</v>
      </c>
      <c r="D222" s="10">
        <v>84347922169.257324</v>
      </c>
    </row>
    <row r="223" spans="1:4" x14ac:dyDescent="0.3">
      <c r="A223" t="s">
        <v>427</v>
      </c>
      <c r="B223" t="s">
        <v>427</v>
      </c>
      <c r="C223" s="10">
        <v>16856.766201271046</v>
      </c>
      <c r="D223" s="10">
        <v>1686721115931.2341</v>
      </c>
    </row>
    <row r="224" spans="1:4" x14ac:dyDescent="0.3">
      <c r="A224" t="s">
        <v>428</v>
      </c>
      <c r="B224" t="s">
        <v>428</v>
      </c>
      <c r="C224" s="10">
        <v>3887.67750781635</v>
      </c>
      <c r="D224" s="10">
        <v>13810113630268.063</v>
      </c>
    </row>
    <row r="225" spans="1:4" x14ac:dyDescent="0.3">
      <c r="A225" t="s">
        <v>429</v>
      </c>
      <c r="B225" t="s">
        <v>429</v>
      </c>
      <c r="C225" s="10">
        <v>13252.755873418477</v>
      </c>
      <c r="D225" s="10">
        <v>31651815201708.344</v>
      </c>
    </row>
    <row r="226" spans="1:4" x14ac:dyDescent="0.3">
      <c r="A226" t="s">
        <v>430</v>
      </c>
      <c r="B226" t="s">
        <v>430</v>
      </c>
      <c r="C226" s="10">
        <v>10128.289091146558</v>
      </c>
      <c r="D226" s="10">
        <v>21685905208512.488</v>
      </c>
    </row>
    <row r="227" spans="1:4" x14ac:dyDescent="0.3">
      <c r="A227" t="s">
        <v>431</v>
      </c>
      <c r="B227" t="s">
        <v>431</v>
      </c>
      <c r="C227" s="10">
        <v>10242.367628733369</v>
      </c>
      <c r="D227" s="10">
        <v>21659054221866.211</v>
      </c>
    </row>
    <row r="228" spans="1:4" x14ac:dyDescent="0.3">
      <c r="A228" t="s">
        <v>432</v>
      </c>
      <c r="B228" t="s">
        <v>432</v>
      </c>
      <c r="C228" s="10">
        <v>38254.423221636564</v>
      </c>
      <c r="D228" s="10">
        <v>13433497319073.254</v>
      </c>
    </row>
    <row r="229" spans="1:4" x14ac:dyDescent="0.3">
      <c r="A229" t="s">
        <v>433</v>
      </c>
      <c r="B229" t="s">
        <v>433</v>
      </c>
      <c r="C229" s="10">
        <v>25973.905328123565</v>
      </c>
      <c r="D229" s="10">
        <v>24110620684172.273</v>
      </c>
    </row>
    <row r="230" spans="1:4" x14ac:dyDescent="0.3">
      <c r="A230" t="s">
        <v>434</v>
      </c>
      <c r="B230" t="s">
        <v>434</v>
      </c>
      <c r="C230" s="10">
        <v>8634.6870900016238</v>
      </c>
      <c r="D230" s="10">
        <v>2161102618244.6704</v>
      </c>
    </row>
    <row r="231" spans="1:4" x14ac:dyDescent="0.3">
      <c r="A231" t="s">
        <v>435</v>
      </c>
      <c r="B231" t="s">
        <v>435</v>
      </c>
      <c r="C231" s="10">
        <v>10447.726561517511</v>
      </c>
      <c r="D231" s="10">
        <v>4803175436464.4883</v>
      </c>
    </row>
    <row r="232" spans="1:4" x14ac:dyDescent="0.3">
      <c r="A232" t="s">
        <v>436</v>
      </c>
      <c r="B232" t="s">
        <v>436</v>
      </c>
      <c r="C232" s="10">
        <v>34896.371034593642</v>
      </c>
      <c r="D232" s="10">
        <v>15711329898680.781</v>
      </c>
    </row>
    <row r="233" spans="1:4" x14ac:dyDescent="0.3">
      <c r="A233" t="s">
        <v>437</v>
      </c>
      <c r="B233" t="s">
        <v>437</v>
      </c>
      <c r="C233" s="10">
        <v>1419.2763794923148</v>
      </c>
      <c r="D233" s="10">
        <v>1535327163040.3521</v>
      </c>
    </row>
    <row r="234" spans="1:4" x14ac:dyDescent="0.3">
      <c r="A234" t="s">
        <v>438</v>
      </c>
      <c r="B234" t="s">
        <v>438</v>
      </c>
      <c r="C234" s="10">
        <v>1015.3201367549922</v>
      </c>
      <c r="D234" s="10">
        <v>955835602301.25098</v>
      </c>
    </row>
    <row r="235" spans="1:4" x14ac:dyDescent="0.3">
      <c r="A235" t="s">
        <v>439</v>
      </c>
      <c r="B235" t="s">
        <v>439</v>
      </c>
      <c r="C235" s="10">
        <v>41776.335944533275</v>
      </c>
      <c r="D235" s="10">
        <v>59232240658596.422</v>
      </c>
    </row>
    <row r="236" spans="1:4" x14ac:dyDescent="0.3">
      <c r="A236" t="s">
        <v>440</v>
      </c>
      <c r="B236" t="s">
        <v>440</v>
      </c>
      <c r="C236" s="10">
        <v>7523.3978874004833</v>
      </c>
      <c r="D236" s="10">
        <v>37462169705167.602</v>
      </c>
    </row>
    <row r="237" spans="1:4" x14ac:dyDescent="0.3">
      <c r="A237" t="s">
        <v>441</v>
      </c>
      <c r="B237" t="s">
        <v>441</v>
      </c>
      <c r="C237" s="10">
        <v>5826.3910985705925</v>
      </c>
      <c r="D237" s="10">
        <v>40354878865906</v>
      </c>
    </row>
    <row r="238" spans="1:4" x14ac:dyDescent="0.3">
      <c r="A238" t="s">
        <v>442</v>
      </c>
      <c r="B238" t="s">
        <v>442</v>
      </c>
      <c r="C238" s="10">
        <v>2076.0324550226519</v>
      </c>
      <c r="D238" s="10">
        <v>1405386054151.8975</v>
      </c>
    </row>
    <row r="239" spans="1:4" x14ac:dyDescent="0.3">
      <c r="A239" t="s">
        <v>443</v>
      </c>
      <c r="B239" t="s">
        <v>443</v>
      </c>
      <c r="C239" s="10">
        <v>1171.2654483590845</v>
      </c>
      <c r="D239" s="10">
        <v>1487323106586.5076</v>
      </c>
    </row>
    <row r="240" spans="1:4" x14ac:dyDescent="0.3">
      <c r="A240" t="s">
        <v>444</v>
      </c>
      <c r="B240" t="s">
        <v>444</v>
      </c>
      <c r="C240" s="10">
        <v>1485.8785447578573</v>
      </c>
      <c r="D240" s="10">
        <v>2892709160738.4033</v>
      </c>
    </row>
    <row r="241" spans="1:4" x14ac:dyDescent="0.3">
      <c r="A241" t="s">
        <v>445</v>
      </c>
      <c r="B241" t="s">
        <v>445</v>
      </c>
      <c r="C241" s="10">
        <v>11914.027219452508</v>
      </c>
      <c r="D241" s="10">
        <v>27743341414834.48</v>
      </c>
    </row>
    <row r="242" spans="1:4" x14ac:dyDescent="0.3">
      <c r="A242" t="s">
        <v>446</v>
      </c>
      <c r="B242" t="s">
        <v>446</v>
      </c>
      <c r="C242" s="10">
        <v>8873.0353890576844</v>
      </c>
      <c r="D242" s="10">
        <v>5875603254876.2822</v>
      </c>
    </row>
    <row r="243" spans="1:4" x14ac:dyDescent="0.3">
      <c r="A243" t="s">
        <v>447</v>
      </c>
      <c r="B243" t="s">
        <v>447</v>
      </c>
      <c r="C243" s="10">
        <v>8638.6660081134214</v>
      </c>
      <c r="D243" s="10">
        <v>5132738029517.5674</v>
      </c>
    </row>
    <row r="244" spans="1:4" x14ac:dyDescent="0.3">
      <c r="A244" t="s">
        <v>448</v>
      </c>
      <c r="B244" t="s">
        <v>448</v>
      </c>
      <c r="C244" s="10">
        <v>8746.2934214581965</v>
      </c>
      <c r="D244" s="10">
        <v>5658884607298.6104</v>
      </c>
    </row>
    <row r="245" spans="1:4" x14ac:dyDescent="0.3">
      <c r="A245" t="s">
        <v>449</v>
      </c>
      <c r="B245" t="s">
        <v>449</v>
      </c>
      <c r="C245" s="10">
        <v>1091.3382485246761</v>
      </c>
      <c r="D245" s="10">
        <v>1296267115798.7991</v>
      </c>
    </row>
    <row r="246" spans="1:4" x14ac:dyDescent="0.3">
      <c r="A246" t="s">
        <v>450</v>
      </c>
      <c r="B246" t="s">
        <v>450</v>
      </c>
      <c r="C246" s="10">
        <v>5652.8750772695566</v>
      </c>
      <c r="D246" s="10">
        <v>37102655224769.367</v>
      </c>
    </row>
    <row r="247" spans="1:4" x14ac:dyDescent="0.3">
      <c r="A247" t="s">
        <v>451</v>
      </c>
      <c r="B247" t="s">
        <v>451</v>
      </c>
      <c r="C247" s="10">
        <v>663.92559694881993</v>
      </c>
      <c r="D247" s="10">
        <v>414693304323.71704</v>
      </c>
    </row>
    <row r="248" spans="1:4" x14ac:dyDescent="0.3">
      <c r="A248" t="s">
        <v>452</v>
      </c>
      <c r="B248" t="s">
        <v>452</v>
      </c>
      <c r="C248" s="10">
        <v>2425.4681115998201</v>
      </c>
      <c r="D248" s="10">
        <v>7569839678967.7246</v>
      </c>
    </row>
    <row r="249" spans="1:4" x14ac:dyDescent="0.3">
      <c r="A249" t="s">
        <v>453</v>
      </c>
      <c r="B249" t="s">
        <v>453</v>
      </c>
      <c r="C249" s="10">
        <v>5466.0890264932141</v>
      </c>
      <c r="D249" s="10">
        <v>4444729170924.959</v>
      </c>
    </row>
    <row r="250" spans="1:4" x14ac:dyDescent="0.3">
      <c r="A250" t="s">
        <v>454</v>
      </c>
      <c r="B250" t="s">
        <v>454</v>
      </c>
      <c r="C250" s="10">
        <v>3023.0528333706466</v>
      </c>
      <c r="D250" s="10">
        <v>2242170825099.0703</v>
      </c>
    </row>
    <row r="251" spans="1:4" x14ac:dyDescent="0.3">
      <c r="A251" t="s">
        <v>455</v>
      </c>
      <c r="B251" t="s">
        <v>455</v>
      </c>
      <c r="C251" s="10">
        <v>3029.8830532120642</v>
      </c>
      <c r="D251" s="10">
        <v>2231211225099.0698</v>
      </c>
    </row>
    <row r="252" spans="1:4" x14ac:dyDescent="0.3">
      <c r="A252" t="s">
        <v>456</v>
      </c>
      <c r="B252" t="s">
        <v>456</v>
      </c>
      <c r="C252" s="10">
        <v>6177.0227922305676</v>
      </c>
      <c r="D252" s="10">
        <v>36684681189602.477</v>
      </c>
    </row>
    <row r="253" spans="1:4" x14ac:dyDescent="0.3">
      <c r="A253" t="s">
        <v>457</v>
      </c>
      <c r="B253" t="s">
        <v>457</v>
      </c>
      <c r="C253" s="10">
        <v>63990.595935217083</v>
      </c>
      <c r="D253" s="10">
        <v>24410122957734.543</v>
      </c>
    </row>
    <row r="254" spans="1:4" x14ac:dyDescent="0.3">
      <c r="A254" t="s">
        <v>458</v>
      </c>
      <c r="B254" t="s">
        <v>458</v>
      </c>
      <c r="C254" s="10" t="s">
        <v>182</v>
      </c>
      <c r="D254" s="10" t="s">
        <v>182</v>
      </c>
    </row>
    <row r="255" spans="1:4" x14ac:dyDescent="0.3">
      <c r="A255" t="s">
        <v>459</v>
      </c>
      <c r="B255" t="s">
        <v>459</v>
      </c>
      <c r="C255" s="10">
        <v>40461.349667897499</v>
      </c>
      <c r="D255" s="10">
        <v>56519546866728.305</v>
      </c>
    </row>
    <row r="256" spans="1:4" x14ac:dyDescent="0.3">
      <c r="A256" t="s">
        <v>460</v>
      </c>
      <c r="B256" t="s">
        <v>460</v>
      </c>
      <c r="C256" s="10">
        <v>12597.72245563775</v>
      </c>
      <c r="D256" s="10">
        <v>162912209874.16779</v>
      </c>
    </row>
    <row r="257" spans="1:4" x14ac:dyDescent="0.3">
      <c r="A257" t="s">
        <v>461</v>
      </c>
      <c r="B257" t="s">
        <v>461</v>
      </c>
      <c r="C257" s="10">
        <v>3921.3732313197102</v>
      </c>
      <c r="D257" s="10">
        <v>10675809216.951277</v>
      </c>
    </row>
    <row r="258" spans="1:4" x14ac:dyDescent="0.3">
      <c r="A258" t="s">
        <v>462</v>
      </c>
      <c r="B258" t="s">
        <v>462</v>
      </c>
      <c r="C258" s="10">
        <v>46567.25756777163</v>
      </c>
      <c r="D258" s="10">
        <v>52545460857104.203</v>
      </c>
    </row>
    <row r="259" spans="1:4" x14ac:dyDescent="0.3">
      <c r="A259" t="s">
        <v>463</v>
      </c>
      <c r="B259" t="s">
        <v>463</v>
      </c>
      <c r="C259" s="10">
        <v>1440.2839096924527</v>
      </c>
      <c r="D259" s="10">
        <v>1592884565151.9985</v>
      </c>
    </row>
    <row r="260" spans="1:4" x14ac:dyDescent="0.3">
      <c r="A260" t="s">
        <v>464</v>
      </c>
      <c r="B260" t="s">
        <v>464</v>
      </c>
      <c r="C260" s="10">
        <v>12776.063094003388</v>
      </c>
      <c r="D260" s="10">
        <v>257992216362.76349</v>
      </c>
    </row>
    <row r="261" spans="1:4" x14ac:dyDescent="0.3">
      <c r="A261" t="s">
        <v>465</v>
      </c>
      <c r="B261" t="s">
        <v>465</v>
      </c>
      <c r="C261" s="10">
        <v>2355.248324179558</v>
      </c>
      <c r="D261" s="10">
        <v>3950657107997.7119</v>
      </c>
    </row>
    <row r="262" spans="1:4" x14ac:dyDescent="0.3">
      <c r="A262" t="s">
        <v>466</v>
      </c>
      <c r="B262" t="s">
        <v>466</v>
      </c>
      <c r="C262" s="10">
        <v>2355.248324179558</v>
      </c>
      <c r="D262" s="10">
        <v>3950657107997.7119</v>
      </c>
    </row>
    <row r="263" spans="1:4" x14ac:dyDescent="0.3">
      <c r="A263" t="s">
        <v>467</v>
      </c>
      <c r="B263" t="s">
        <v>467</v>
      </c>
      <c r="C263" s="10">
        <v>1589.3298253707546</v>
      </c>
      <c r="D263" s="10">
        <v>2051896267179.9121</v>
      </c>
    </row>
    <row r="264" spans="1:4" x14ac:dyDescent="0.3">
      <c r="A264" t="s">
        <v>468</v>
      </c>
      <c r="B264" t="s">
        <v>468</v>
      </c>
      <c r="C264" s="10">
        <v>1668.1977926869979</v>
      </c>
      <c r="D264" s="10">
        <v>1933214104917.3716</v>
      </c>
    </row>
    <row r="265" spans="1:4" x14ac:dyDescent="0.3">
      <c r="A265" t="s">
        <v>469</v>
      </c>
      <c r="B265" t="s">
        <v>469</v>
      </c>
      <c r="C265" s="10">
        <v>1589.3298253707544</v>
      </c>
      <c r="D265" s="10">
        <v>2051896267179.9119</v>
      </c>
    </row>
    <row r="266" spans="1:4" x14ac:dyDescent="0.3">
      <c r="A266" t="s">
        <v>470</v>
      </c>
      <c r="B266" t="s">
        <v>470</v>
      </c>
      <c r="C266" s="10">
        <v>10332.059446447318</v>
      </c>
      <c r="D266" s="10">
        <v>29114841510634.75</v>
      </c>
    </row>
    <row r="267" spans="1:4" x14ac:dyDescent="0.3">
      <c r="A267" t="s">
        <v>471</v>
      </c>
      <c r="B267" t="s">
        <v>471</v>
      </c>
      <c r="C267" s="10">
        <v>11851.50517161399</v>
      </c>
      <c r="D267" s="10">
        <v>96492690817960.547</v>
      </c>
    </row>
    <row r="271" spans="1:4" x14ac:dyDescent="0.3">
      <c r="A271" t="s">
        <v>472</v>
      </c>
      <c r="B271" t="s">
        <v>472</v>
      </c>
    </row>
    <row r="272" spans="1:4" x14ac:dyDescent="0.3">
      <c r="A272" t="s">
        <v>473</v>
      </c>
      <c r="B272" t="s">
        <v>473</v>
      </c>
    </row>
  </sheetData>
  <sortState xmlns:xlrd2="http://schemas.microsoft.com/office/spreadsheetml/2017/richdata2" ref="L2:N149">
    <sortCondition descending="1" ref="M2:M14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119D-4970-4A1F-8FD8-DF1596C3B88A}">
  <dimension ref="A1:Q154"/>
  <sheetViews>
    <sheetView workbookViewId="0">
      <pane xSplit="1" ySplit="1" topLeftCell="B102" activePane="bottomRight" state="frozen"/>
      <selection pane="topRight" activeCell="B1" sqref="B1"/>
      <selection pane="bottomLeft" activeCell="A2" sqref="A2"/>
      <selection pane="bottomRight" activeCell="C1" sqref="C1:C151"/>
    </sheetView>
  </sheetViews>
  <sheetFormatPr defaultRowHeight="14" x14ac:dyDescent="0.3"/>
  <cols>
    <col min="1" max="1" width="20.5" customWidth="1"/>
    <col min="2" max="2" width="11.6640625" customWidth="1"/>
    <col min="3" max="3" width="10.5" customWidth="1"/>
    <col min="5" max="5" width="15.5" customWidth="1"/>
    <col min="6" max="6" width="16.5" customWidth="1"/>
    <col min="8" max="8" width="13.1640625" customWidth="1"/>
    <col min="9" max="9" width="12.5" customWidth="1"/>
    <col min="10" max="10" width="10.75" customWidth="1"/>
    <col min="11" max="11" width="14.08203125" customWidth="1"/>
    <col min="12" max="13" width="12.58203125" customWidth="1"/>
    <col min="14" max="14" width="11.25" style="10" customWidth="1"/>
    <col min="15" max="15" width="15.58203125" style="10" customWidth="1"/>
    <col min="16" max="16" width="11.25" style="10" customWidth="1"/>
  </cols>
  <sheetData>
    <row r="1" spans="1:17" s="1" customFormat="1" ht="42" x14ac:dyDescent="0.3">
      <c r="A1" s="1" t="s">
        <v>0</v>
      </c>
      <c r="B1" s="2" t="s">
        <v>1</v>
      </c>
      <c r="C1" s="2" t="s">
        <v>2</v>
      </c>
      <c r="D1" s="2" t="s">
        <v>474</v>
      </c>
      <c r="E1" s="2" t="s">
        <v>761</v>
      </c>
      <c r="F1" s="2" t="s">
        <v>763</v>
      </c>
      <c r="G1" s="2" t="s">
        <v>475</v>
      </c>
      <c r="H1" s="2" t="s">
        <v>3</v>
      </c>
      <c r="I1" s="2" t="s">
        <v>4</v>
      </c>
      <c r="J1" s="4"/>
      <c r="K1" s="1" t="s">
        <v>0</v>
      </c>
      <c r="L1" s="18" t="s">
        <v>476</v>
      </c>
      <c r="M1" s="18" t="s">
        <v>477</v>
      </c>
      <c r="N1" s="18" t="s">
        <v>478</v>
      </c>
      <c r="O1" s="18" t="s">
        <v>479</v>
      </c>
      <c r="P1" s="19" t="s">
        <v>480</v>
      </c>
      <c r="Q1" s="18" t="s">
        <v>481</v>
      </c>
    </row>
    <row r="2" spans="1:17" x14ac:dyDescent="0.3">
      <c r="A2" t="s">
        <v>156</v>
      </c>
      <c r="B2" s="3">
        <v>0</v>
      </c>
      <c r="C2" s="3">
        <v>2.5132179435399999E-3</v>
      </c>
      <c r="D2" s="3">
        <v>2.5132179435399999E-3</v>
      </c>
      <c r="E2" s="3">
        <v>2078640238.8818378</v>
      </c>
      <c r="F2" s="3">
        <v>389.93830796422935</v>
      </c>
      <c r="G2" s="3">
        <v>4.8777418295981641E-3</v>
      </c>
      <c r="H2" s="3">
        <v>4.8777418295981641E-3</v>
      </c>
      <c r="I2" s="3">
        <v>0</v>
      </c>
      <c r="K2" t="s">
        <v>156</v>
      </c>
      <c r="L2" s="3">
        <v>2.5132179435399999E-3</v>
      </c>
      <c r="M2" s="20">
        <f>L2/L$153</f>
        <v>1.1367959842800074E-6</v>
      </c>
      <c r="N2" s="20">
        <f>0+M2</f>
        <v>1.1367959842800074E-6</v>
      </c>
      <c r="O2" s="21">
        <f>VLOOKUP(K2,A:E,5,FALSE)</f>
        <v>2078640238.8818378</v>
      </c>
      <c r="P2" s="22">
        <f>O2/O$153</f>
        <v>2.1907530585843618E-5</v>
      </c>
      <c r="Q2" s="22">
        <f>P2</f>
        <v>2.1907530585843618E-5</v>
      </c>
    </row>
    <row r="3" spans="1:17" x14ac:dyDescent="0.3">
      <c r="A3" t="s">
        <v>155</v>
      </c>
      <c r="B3" s="3">
        <v>8.0871535019999996E-2</v>
      </c>
      <c r="C3" s="3">
        <v>1.8545732102841994E-2</v>
      </c>
      <c r="D3" s="3">
        <v>9.941726712284199E-2</v>
      </c>
      <c r="E3" s="3">
        <v>14492369787.952595</v>
      </c>
      <c r="F3" s="3">
        <v>453.38306700477222</v>
      </c>
      <c r="G3" s="3">
        <v>3.1868663876700974E-2</v>
      </c>
      <c r="H3" s="3">
        <v>5.9449200308687661E-3</v>
      </c>
      <c r="I3" s="3">
        <v>2.5923743845832205E-2</v>
      </c>
      <c r="K3" t="s">
        <v>155</v>
      </c>
      <c r="L3" s="3">
        <v>9.941726712284199E-2</v>
      </c>
      <c r="M3" s="20">
        <f t="shared" ref="M3:M66" si="0">L3/L$153</f>
        <v>4.4969100401276366E-5</v>
      </c>
      <c r="N3" s="20">
        <f>N2+M3</f>
        <v>4.6105896385556371E-5</v>
      </c>
      <c r="O3" s="21">
        <f>VLOOKUP(K3,A:E,5,FALSE)</f>
        <v>14492369787.952595</v>
      </c>
      <c r="P3" s="22">
        <f t="shared" ref="P3:P66" si="1">O3/O$153</f>
        <v>1.527402522341797E-4</v>
      </c>
      <c r="Q3" s="22">
        <f>P3+Q2</f>
        <v>1.7464778282002332E-4</v>
      </c>
    </row>
    <row r="4" spans="1:17" x14ac:dyDescent="0.3">
      <c r="A4" t="s">
        <v>154</v>
      </c>
      <c r="B4" s="3">
        <v>4.5516964035400002E-2</v>
      </c>
      <c r="C4" s="3">
        <v>1.4563936494399999E-3</v>
      </c>
      <c r="D4" s="3">
        <v>4.6973357684840004E-2</v>
      </c>
      <c r="E4" s="3">
        <v>8882404280.6420708</v>
      </c>
      <c r="F4" s="3">
        <v>467.26991019441482</v>
      </c>
      <c r="G4" s="3">
        <v>2.558654761529669E-2</v>
      </c>
      <c r="H4" s="3">
        <v>7.9330257181165344E-4</v>
      </c>
      <c r="I4" s="3">
        <v>2.4793245043485037E-2</v>
      </c>
      <c r="K4" t="s">
        <v>154</v>
      </c>
      <c r="L4" s="3">
        <v>4.6973357684840004E-2</v>
      </c>
      <c r="M4" s="20">
        <f t="shared" si="0"/>
        <v>2.1247311448468756E-5</v>
      </c>
      <c r="N4" s="20">
        <f t="shared" ref="N4:N66" si="2">N3+M4</f>
        <v>6.7353207834025127E-5</v>
      </c>
      <c r="O4" s="21">
        <f>VLOOKUP(K4,A:E,5,FALSE)</f>
        <v>8882404280.6420708</v>
      </c>
      <c r="P4" s="22">
        <f t="shared" si="1"/>
        <v>9.361482560285228E-5</v>
      </c>
      <c r="Q4" s="22">
        <f t="shared" ref="Q4:Q67" si="3">P4+Q3</f>
        <v>2.6826260842287557E-4</v>
      </c>
    </row>
    <row r="5" spans="1:17" x14ac:dyDescent="0.3">
      <c r="A5" t="s">
        <v>152</v>
      </c>
      <c r="B5" s="3">
        <v>2.8017462579999998E-3</v>
      </c>
      <c r="C5" s="3">
        <v>5.5427861549E-3</v>
      </c>
      <c r="D5" s="3">
        <v>8.3445324129000006E-3</v>
      </c>
      <c r="E5" s="3">
        <v>11952668098.89068</v>
      </c>
      <c r="F5" s="3">
        <v>551.95152347055955</v>
      </c>
      <c r="G5" s="3">
        <v>3.9539148190891396E-3</v>
      </c>
      <c r="H5" s="3">
        <v>2.6263549870117636E-3</v>
      </c>
      <c r="I5" s="3">
        <v>1.3275598320773758E-3</v>
      </c>
      <c r="K5" t="s">
        <v>152</v>
      </c>
      <c r="L5" s="3">
        <v>8.3445324129000006E-3</v>
      </c>
      <c r="M5" s="20">
        <f t="shared" si="0"/>
        <v>3.7744561557273886E-6</v>
      </c>
      <c r="N5" s="20">
        <f t="shared" si="2"/>
        <v>7.1127663989752516E-5</v>
      </c>
      <c r="O5" s="21">
        <f>VLOOKUP(K5,A:E,5,FALSE)</f>
        <v>11952668098.89068</v>
      </c>
      <c r="P5" s="22">
        <f t="shared" si="1"/>
        <v>1.2597343064028416E-4</v>
      </c>
      <c r="Q5" s="22">
        <f t="shared" si="3"/>
        <v>3.9423603906315973E-4</v>
      </c>
    </row>
    <row r="6" spans="1:17" x14ac:dyDescent="0.3">
      <c r="A6" t="s">
        <v>150</v>
      </c>
      <c r="B6" s="3">
        <v>0</v>
      </c>
      <c r="C6" s="3">
        <v>1.564489989396E-2</v>
      </c>
      <c r="D6" s="3">
        <v>1.564489989396E-2</v>
      </c>
      <c r="E6" s="3">
        <v>60565728422.472641</v>
      </c>
      <c r="F6" s="3">
        <v>554.24412998076605</v>
      </c>
      <c r="G6" s="3">
        <v>1.4788675371487617E-3</v>
      </c>
      <c r="H6" s="3">
        <v>1.4788675371487617E-3</v>
      </c>
      <c r="I6" s="3">
        <v>0</v>
      </c>
      <c r="K6" t="s">
        <v>150</v>
      </c>
      <c r="L6" s="3">
        <v>1.564489989396E-2</v>
      </c>
      <c r="M6" s="20">
        <f t="shared" si="0"/>
        <v>7.0766084651079838E-6</v>
      </c>
      <c r="N6" s="20">
        <f t="shared" si="2"/>
        <v>7.8204272454860497E-5</v>
      </c>
      <c r="O6" s="21">
        <f>VLOOKUP(K6,A:E,5,FALSE)</f>
        <v>60565728422.472641</v>
      </c>
      <c r="P6" s="22">
        <f t="shared" si="1"/>
        <v>6.3832380565429978E-4</v>
      </c>
      <c r="Q6" s="22">
        <f t="shared" si="3"/>
        <v>1.0325598447174596E-3</v>
      </c>
    </row>
    <row r="7" spans="1:17" x14ac:dyDescent="0.3">
      <c r="A7" t="s">
        <v>148</v>
      </c>
      <c r="B7" s="3">
        <v>4.4021787959999999E-3</v>
      </c>
      <c r="C7" s="3">
        <v>9.9945422990219985E-3</v>
      </c>
      <c r="D7" s="3">
        <v>1.4396721095021998E-2</v>
      </c>
      <c r="E7" s="3">
        <v>29179132473.630383</v>
      </c>
      <c r="F7" s="3">
        <v>578.38916015625</v>
      </c>
      <c r="G7" s="3">
        <v>2.8768821257435461E-3</v>
      </c>
      <c r="H7" s="3">
        <v>1.9971992167707028E-3</v>
      </c>
      <c r="I7" s="3">
        <v>8.7968290897284286E-4</v>
      </c>
      <c r="K7" t="s">
        <v>148</v>
      </c>
      <c r="L7" s="3">
        <v>1.4396721095021998E-2</v>
      </c>
      <c r="M7" s="20">
        <f t="shared" si="0"/>
        <v>6.5120236665856824E-6</v>
      </c>
      <c r="N7" s="20">
        <f t="shared" si="2"/>
        <v>8.4716296121446178E-5</v>
      </c>
      <c r="O7" s="21">
        <f>VLOOKUP(K7,A:E,5,FALSE)</f>
        <v>29179132473.630383</v>
      </c>
      <c r="P7" s="22">
        <f t="shared" si="1"/>
        <v>3.0752928052538229E-4</v>
      </c>
      <c r="Q7" s="22">
        <f t="shared" si="3"/>
        <v>1.3400891252428417E-3</v>
      </c>
    </row>
    <row r="8" spans="1:17" x14ac:dyDescent="0.3">
      <c r="A8" t="s">
        <v>151</v>
      </c>
      <c r="B8" s="3">
        <v>1.2446408865999998E-2</v>
      </c>
      <c r="C8" s="3">
        <v>1.005483702812E-2</v>
      </c>
      <c r="D8" s="3">
        <v>2.2501245894119996E-2</v>
      </c>
      <c r="E8" s="3">
        <v>16088387161.446194</v>
      </c>
      <c r="F8" s="3">
        <v>595.15174455931617</v>
      </c>
      <c r="G8" s="3">
        <v>8.6014374209624211E-3</v>
      </c>
      <c r="H8" s="3">
        <v>3.8436116774293997E-3</v>
      </c>
      <c r="I8" s="3">
        <v>4.7578257435330219E-3</v>
      </c>
      <c r="K8" t="s">
        <v>151</v>
      </c>
      <c r="L8" s="3">
        <v>2.2501245894119996E-2</v>
      </c>
      <c r="M8" s="20">
        <f t="shared" si="0"/>
        <v>1.0177917931662858E-5</v>
      </c>
      <c r="N8" s="20">
        <f t="shared" si="2"/>
        <v>9.4894214053109035E-5</v>
      </c>
      <c r="O8" s="21">
        <f>VLOOKUP(K8,A:E,5,FALSE)</f>
        <v>16088387161.446194</v>
      </c>
      <c r="P8" s="22">
        <f t="shared" si="1"/>
        <v>1.695612483696906E-4</v>
      </c>
      <c r="Q8" s="22">
        <f t="shared" si="3"/>
        <v>1.5096503736125324E-3</v>
      </c>
    </row>
    <row r="9" spans="1:17" x14ac:dyDescent="0.3">
      <c r="A9" t="s">
        <v>153</v>
      </c>
      <c r="B9" s="3">
        <v>2.2411704620000001E-3</v>
      </c>
      <c r="C9" s="3">
        <v>1.1807325054497999E-2</v>
      </c>
      <c r="D9" s="3">
        <v>1.4048495516497998E-2</v>
      </c>
      <c r="E9" s="3">
        <v>20973160980.921219</v>
      </c>
      <c r="F9" s="3">
        <v>605.60472084851858</v>
      </c>
      <c r="G9" s="3">
        <v>4.1767292073229319E-3</v>
      </c>
      <c r="H9" s="3">
        <v>3.5104114428169807E-3</v>
      </c>
      <c r="I9" s="3">
        <v>6.6631776450595164E-4</v>
      </c>
      <c r="K9" t="s">
        <v>153</v>
      </c>
      <c r="L9" s="3">
        <v>1.4048495516497998E-2</v>
      </c>
      <c r="M9" s="20">
        <f t="shared" si="0"/>
        <v>6.3545118836115111E-6</v>
      </c>
      <c r="N9" s="20">
        <f t="shared" si="2"/>
        <v>1.0124872593672054E-4</v>
      </c>
      <c r="O9" s="21">
        <f>VLOOKUP(K9,A:E,5,FALSE)</f>
        <v>20973160980.921219</v>
      </c>
      <c r="P9" s="22">
        <f t="shared" si="1"/>
        <v>2.2104362124660695E-4</v>
      </c>
      <c r="Q9" s="22">
        <f t="shared" si="3"/>
        <v>1.7306939948591392E-3</v>
      </c>
    </row>
    <row r="10" spans="1:17" x14ac:dyDescent="0.3">
      <c r="A10" t="s">
        <v>147</v>
      </c>
      <c r="B10" s="3">
        <v>0</v>
      </c>
      <c r="C10" s="3">
        <v>6.323201219327999E-3</v>
      </c>
      <c r="D10" s="3">
        <v>6.323201219327999E-3</v>
      </c>
      <c r="E10" s="3">
        <v>3733092094.5398049</v>
      </c>
      <c r="F10" s="3">
        <v>665.10133762419207</v>
      </c>
      <c r="G10" s="3">
        <v>1.1511315372747759E-2</v>
      </c>
      <c r="H10" s="3">
        <v>1.1511315372747759E-2</v>
      </c>
      <c r="I10" s="3">
        <v>0</v>
      </c>
      <c r="K10" t="s">
        <v>147</v>
      </c>
      <c r="L10" s="3">
        <v>6.323201219327999E-3</v>
      </c>
      <c r="M10" s="20">
        <f t="shared" si="0"/>
        <v>2.8601537611981121E-6</v>
      </c>
      <c r="N10" s="20">
        <f t="shared" si="2"/>
        <v>1.0410887969791865E-4</v>
      </c>
      <c r="O10" s="21">
        <f>VLOOKUP(K10,A:E,5,FALSE)</f>
        <v>3733092094.5398049</v>
      </c>
      <c r="P10" s="22">
        <f t="shared" si="1"/>
        <v>3.9344388562830479E-5</v>
      </c>
      <c r="Q10" s="22">
        <f t="shared" si="3"/>
        <v>1.7700383834219698E-3</v>
      </c>
    </row>
    <row r="11" spans="1:17" x14ac:dyDescent="0.3">
      <c r="A11" t="s">
        <v>146</v>
      </c>
      <c r="B11" s="3">
        <v>0.12248349700199999</v>
      </c>
      <c r="C11" s="3">
        <v>3.039744498073E-2</v>
      </c>
      <c r="D11" s="3">
        <v>0.15288094198273</v>
      </c>
      <c r="E11" s="3">
        <v>17987353311.131538</v>
      </c>
      <c r="F11" s="3">
        <v>763.83373352240778</v>
      </c>
      <c r="G11" s="3">
        <v>6.6395565553460614E-2</v>
      </c>
      <c r="H11" s="3">
        <v>1.3201485578913822E-2</v>
      </c>
      <c r="I11" s="3">
        <v>5.3194079974546782E-2</v>
      </c>
      <c r="K11" t="s">
        <v>146</v>
      </c>
      <c r="L11" s="3">
        <v>0.15288094198273</v>
      </c>
      <c r="M11" s="20">
        <f t="shared" si="0"/>
        <v>6.9152156646674911E-5</v>
      </c>
      <c r="N11" s="20">
        <f t="shared" si="2"/>
        <v>1.7326103634459356E-4</v>
      </c>
      <c r="O11" s="21">
        <f>VLOOKUP(K11,A:E,5,FALSE)</f>
        <v>17987353311.131538</v>
      </c>
      <c r="P11" s="22">
        <f t="shared" si="1"/>
        <v>1.895751296693676E-4</v>
      </c>
      <c r="Q11" s="22">
        <f t="shared" si="3"/>
        <v>1.9596135130913375E-3</v>
      </c>
    </row>
    <row r="12" spans="1:17" x14ac:dyDescent="0.3">
      <c r="A12" t="s">
        <v>143</v>
      </c>
      <c r="B12" s="3">
        <v>0</v>
      </c>
      <c r="C12" s="3">
        <v>3.7780074592E-4</v>
      </c>
      <c r="D12" s="3">
        <v>3.7780074592E-4</v>
      </c>
      <c r="E12" s="3">
        <v>1747195818.6794879</v>
      </c>
      <c r="F12" s="3">
        <v>793.69215767377864</v>
      </c>
      <c r="G12" s="3">
        <v>1.7544880110377417E-3</v>
      </c>
      <c r="H12" s="3">
        <v>1.7544880110377417E-3</v>
      </c>
      <c r="I12" s="3">
        <v>0</v>
      </c>
      <c r="K12" t="s">
        <v>143</v>
      </c>
      <c r="L12" s="3">
        <v>3.7780074592E-4</v>
      </c>
      <c r="M12" s="20">
        <f t="shared" si="0"/>
        <v>1.7088942561618785E-7</v>
      </c>
      <c r="N12" s="20">
        <f t="shared" si="2"/>
        <v>1.7343192577020975E-4</v>
      </c>
      <c r="O12" s="21">
        <f>VLOOKUP(K12,A:E,5,FALSE)</f>
        <v>1747195818.6794879</v>
      </c>
      <c r="P12" s="22">
        <f t="shared" si="1"/>
        <v>1.8414319669751587E-5</v>
      </c>
      <c r="Q12" s="22">
        <f t="shared" si="3"/>
        <v>1.9780278327610891E-3</v>
      </c>
    </row>
    <row r="13" spans="1:17" x14ac:dyDescent="0.3">
      <c r="A13" t="s">
        <v>144</v>
      </c>
      <c r="B13" s="3">
        <v>0</v>
      </c>
      <c r="C13" s="3">
        <v>1.293567814112E-2</v>
      </c>
      <c r="D13" s="3">
        <v>1.293567814112E-2</v>
      </c>
      <c r="E13" s="3">
        <v>17248313422.992172</v>
      </c>
      <c r="F13" s="3">
        <v>849.70732100062514</v>
      </c>
      <c r="G13" s="3">
        <v>6.6958099735680773E-3</v>
      </c>
      <c r="H13" s="3">
        <v>6.6958099735680773E-3</v>
      </c>
      <c r="I13" s="3">
        <v>0</v>
      </c>
      <c r="K13" t="s">
        <v>144</v>
      </c>
      <c r="L13" s="3">
        <v>1.293567814112E-2</v>
      </c>
      <c r="M13" s="20">
        <f t="shared" si="0"/>
        <v>5.8511546929554391E-6</v>
      </c>
      <c r="N13" s="20">
        <f t="shared" si="2"/>
        <v>1.7928308046316518E-4</v>
      </c>
      <c r="O13" s="21">
        <f>VLOOKUP(K13,A:E,5,FALSE)</f>
        <v>17248313422.992172</v>
      </c>
      <c r="P13" s="22">
        <f t="shared" si="1"/>
        <v>1.817861247945842E-4</v>
      </c>
      <c r="Q13" s="22">
        <f t="shared" si="3"/>
        <v>2.1598139575556732E-3</v>
      </c>
    </row>
    <row r="14" spans="1:17" x14ac:dyDescent="0.3">
      <c r="A14" t="s">
        <v>138</v>
      </c>
      <c r="B14" s="3">
        <v>2.3959878899999998E-4</v>
      </c>
      <c r="C14" s="3">
        <v>1.5916255531156002E-2</v>
      </c>
      <c r="D14" s="3">
        <v>1.6155854320156003E-2</v>
      </c>
      <c r="E14" s="3">
        <v>116669335367.21245</v>
      </c>
      <c r="F14" s="3">
        <v>883.45858861929116</v>
      </c>
      <c r="G14" s="3">
        <v>1.2553921756002714E-3</v>
      </c>
      <c r="H14" s="3">
        <v>1.2367741292231981E-3</v>
      </c>
      <c r="I14" s="3">
        <v>1.8618046377073043E-5</v>
      </c>
      <c r="K14" t="s">
        <v>138</v>
      </c>
      <c r="L14" s="3">
        <v>1.6155854320156003E-2</v>
      </c>
      <c r="M14" s="20">
        <f t="shared" si="0"/>
        <v>7.307726877000091E-6</v>
      </c>
      <c r="N14" s="20">
        <f t="shared" si="2"/>
        <v>1.8659080734016528E-4</v>
      </c>
      <c r="O14" s="21">
        <f>VLOOKUP(K14,A:E,5,FALSE)</f>
        <v>116669335367.21245</v>
      </c>
      <c r="P14" s="22">
        <f t="shared" si="1"/>
        <v>1.2296197221517118E-3</v>
      </c>
      <c r="Q14" s="22">
        <f t="shared" si="3"/>
        <v>3.3894336797073848E-3</v>
      </c>
    </row>
    <row r="15" spans="1:17" x14ac:dyDescent="0.3">
      <c r="A15" t="s">
        <v>140</v>
      </c>
      <c r="B15" s="3">
        <v>1.672448699E-3</v>
      </c>
      <c r="C15" s="3">
        <v>4.0817258337288012E-2</v>
      </c>
      <c r="D15" s="3">
        <v>4.2489707036288009E-2</v>
      </c>
      <c r="E15" s="3">
        <v>22269531976.235027</v>
      </c>
      <c r="F15" s="3">
        <v>909.75531791081255</v>
      </c>
      <c r="G15" s="3">
        <v>1.7876006567800327E-2</v>
      </c>
      <c r="H15" s="3">
        <v>1.7172384302245519E-2</v>
      </c>
      <c r="I15" s="3">
        <v>7.0362226555480991E-4</v>
      </c>
      <c r="K15" t="s">
        <v>140</v>
      </c>
      <c r="L15" s="3">
        <v>4.2489707036288009E-2</v>
      </c>
      <c r="M15" s="20">
        <f t="shared" si="0"/>
        <v>1.9219235823237078E-5</v>
      </c>
      <c r="N15" s="20">
        <f t="shared" si="2"/>
        <v>2.0581004316340236E-4</v>
      </c>
      <c r="O15" s="21">
        <f>VLOOKUP(K15,A:E,5,FALSE)</f>
        <v>22269531976.235027</v>
      </c>
      <c r="P15" s="22">
        <f t="shared" si="1"/>
        <v>2.347065373680206E-4</v>
      </c>
      <c r="Q15" s="22">
        <f t="shared" si="3"/>
        <v>3.6241402170754055E-3</v>
      </c>
    </row>
    <row r="16" spans="1:17" x14ac:dyDescent="0.3">
      <c r="A16" t="s">
        <v>139</v>
      </c>
      <c r="B16" s="3">
        <v>0</v>
      </c>
      <c r="C16" s="3">
        <v>1.0482524593925999E-2</v>
      </c>
      <c r="D16" s="3">
        <v>1.0482524593925999E-2</v>
      </c>
      <c r="E16" s="3">
        <v>8858969845.088459</v>
      </c>
      <c r="F16" s="3">
        <v>931.02996552985746</v>
      </c>
      <c r="G16" s="3">
        <v>1.126627785937461E-2</v>
      </c>
      <c r="H16" s="3">
        <v>1.126627785937461E-2</v>
      </c>
      <c r="I16" s="3">
        <v>0</v>
      </c>
      <c r="K16" t="s">
        <v>139</v>
      </c>
      <c r="L16" s="3">
        <v>1.0482524593925999E-2</v>
      </c>
      <c r="M16" s="20">
        <f t="shared" si="0"/>
        <v>4.7415274485532615E-6</v>
      </c>
      <c r="N16" s="20">
        <f t="shared" si="2"/>
        <v>2.1055157061195562E-4</v>
      </c>
      <c r="O16" s="21">
        <f>VLOOKUP(K16,A:E,5,FALSE)</f>
        <v>8858969845.088459</v>
      </c>
      <c r="P16" s="22">
        <f t="shared" si="1"/>
        <v>9.336784173135324E-5</v>
      </c>
      <c r="Q16" s="22">
        <f t="shared" si="3"/>
        <v>3.7175080588067585E-3</v>
      </c>
    </row>
    <row r="17" spans="1:17" x14ac:dyDescent="0.3">
      <c r="A17" t="s">
        <v>142</v>
      </c>
      <c r="B17" s="3">
        <v>7.309365592E-2</v>
      </c>
      <c r="C17" s="3">
        <v>8.6785159329939993E-3</v>
      </c>
      <c r="D17" s="3">
        <v>8.1772171852993999E-2</v>
      </c>
      <c r="E17" s="3">
        <v>49319389340.670036</v>
      </c>
      <c r="F17" s="3">
        <v>986.09014536392408</v>
      </c>
      <c r="G17" s="3">
        <v>1.6805977025192122E-2</v>
      </c>
      <c r="H17" s="3">
        <v>1.7836256036450223E-3</v>
      </c>
      <c r="I17" s="3">
        <v>1.5022351421547101E-2</v>
      </c>
      <c r="K17" t="s">
        <v>142</v>
      </c>
      <c r="L17" s="3">
        <v>8.1772171852993999E-2</v>
      </c>
      <c r="M17" s="20">
        <f t="shared" si="0"/>
        <v>3.69877498397141E-5</v>
      </c>
      <c r="N17" s="20">
        <f t="shared" si="2"/>
        <v>2.4753932045166972E-4</v>
      </c>
      <c r="O17" s="21">
        <f>VLOOKUP(K17,A:E,5,FALSE)</f>
        <v>49319389340.670036</v>
      </c>
      <c r="P17" s="22">
        <f t="shared" si="1"/>
        <v>5.197946283562149E-4</v>
      </c>
      <c r="Q17" s="22">
        <f t="shared" si="3"/>
        <v>4.2373026871629733E-3</v>
      </c>
    </row>
    <row r="18" spans="1:17" x14ac:dyDescent="0.3">
      <c r="A18" t="s">
        <v>145</v>
      </c>
      <c r="B18" s="3">
        <v>0</v>
      </c>
      <c r="C18" s="3">
        <v>3.6781384027080003E-3</v>
      </c>
      <c r="D18" s="3">
        <v>3.6781384027080003E-3</v>
      </c>
      <c r="E18" s="3">
        <v>2316549022.352397</v>
      </c>
      <c r="F18" s="3">
        <v>991.069661910744</v>
      </c>
      <c r="G18" s="3">
        <v>1.5912537130919172E-2</v>
      </c>
      <c r="H18" s="3">
        <v>1.5912537130919172E-2</v>
      </c>
      <c r="I18" s="3">
        <v>0</v>
      </c>
      <c r="K18" t="s">
        <v>145</v>
      </c>
      <c r="L18" s="3">
        <v>3.6781384027080003E-3</v>
      </c>
      <c r="M18" s="20">
        <f t="shared" si="0"/>
        <v>1.6637207992932615E-6</v>
      </c>
      <c r="N18" s="20">
        <f t="shared" si="2"/>
        <v>2.4920304125096296E-4</v>
      </c>
      <c r="O18" s="21">
        <f>VLOOKUP(K18,A:E,5,FALSE)</f>
        <v>2316549022.352397</v>
      </c>
      <c r="P18" s="22">
        <f t="shared" si="1"/>
        <v>2.4414936077678899E-5</v>
      </c>
      <c r="Q18" s="22">
        <f t="shared" si="3"/>
        <v>4.2617176232406526E-3</v>
      </c>
    </row>
    <row r="19" spans="1:17" x14ac:dyDescent="0.3">
      <c r="A19" t="s">
        <v>130</v>
      </c>
      <c r="B19" s="3">
        <v>0</v>
      </c>
      <c r="C19" s="3">
        <v>1.4029021224379998E-3</v>
      </c>
      <c r="D19" s="3">
        <v>1.4029021224379998E-3</v>
      </c>
      <c r="E19" s="3">
        <v>15432355339.810682</v>
      </c>
      <c r="F19" s="3">
        <v>1045.9220747581671</v>
      </c>
      <c r="G19" s="3">
        <v>9.7386778578661915E-4</v>
      </c>
      <c r="H19" s="3">
        <v>9.7386778578661915E-4</v>
      </c>
      <c r="I19" s="3">
        <v>0</v>
      </c>
      <c r="K19" t="s">
        <v>130</v>
      </c>
      <c r="L19" s="3">
        <v>1.4029021224379998E-3</v>
      </c>
      <c r="M19" s="20">
        <f t="shared" si="0"/>
        <v>6.3457031381808403E-7</v>
      </c>
      <c r="N19" s="20">
        <f t="shared" si="2"/>
        <v>2.4983761156478106E-4</v>
      </c>
      <c r="O19" s="21">
        <f>VLOOKUP(K19,A:E,5,FALSE)</f>
        <v>15432355339.810682</v>
      </c>
      <c r="P19" s="22">
        <f t="shared" si="1"/>
        <v>1.6264709510308307E-4</v>
      </c>
      <c r="Q19" s="22">
        <f t="shared" si="3"/>
        <v>4.4243647183437353E-3</v>
      </c>
    </row>
    <row r="20" spans="1:17" x14ac:dyDescent="0.3">
      <c r="A20" t="s">
        <v>141</v>
      </c>
      <c r="B20" s="3">
        <v>4.2356532590000003E-2</v>
      </c>
      <c r="C20" s="3">
        <v>3.4116591008799997E-3</v>
      </c>
      <c r="D20" s="3">
        <v>4.5768191690880006E-2</v>
      </c>
      <c r="E20" s="3">
        <v>15260942682.754557</v>
      </c>
      <c r="F20" s="3">
        <v>1070.4500377092575</v>
      </c>
      <c r="G20" s="3">
        <v>3.2798227672607587E-2</v>
      </c>
      <c r="H20" s="3">
        <v>2.4448501852058742E-3</v>
      </c>
      <c r="I20" s="3">
        <v>3.035337748740171E-2</v>
      </c>
      <c r="K20" t="s">
        <v>141</v>
      </c>
      <c r="L20" s="3">
        <v>4.5768191690880006E-2</v>
      </c>
      <c r="M20" s="20">
        <f t="shared" si="0"/>
        <v>2.0702182497019845E-5</v>
      </c>
      <c r="N20" s="20">
        <f t="shared" si="2"/>
        <v>2.7053979406180088E-4</v>
      </c>
      <c r="O20" s="21">
        <f>VLOOKUP(K20,A:E,5,FALSE)</f>
        <v>15260942682.754557</v>
      </c>
      <c r="P20" s="22">
        <f t="shared" si="1"/>
        <v>1.608405159957346E-4</v>
      </c>
      <c r="Q20" s="22">
        <f t="shared" si="3"/>
        <v>4.5852052343394699E-3</v>
      </c>
    </row>
    <row r="21" spans="1:17" x14ac:dyDescent="0.3">
      <c r="A21" t="s">
        <v>136</v>
      </c>
      <c r="B21" s="3">
        <v>0</v>
      </c>
      <c r="C21" s="3">
        <v>2.2198150242353991E-2</v>
      </c>
      <c r="D21" s="3">
        <v>2.2198150242353991E-2</v>
      </c>
      <c r="E21" s="3">
        <v>74463225268.464447</v>
      </c>
      <c r="F21" s="3">
        <v>1120.77416992188</v>
      </c>
      <c r="G21" s="3">
        <v>3.3321747170491221E-3</v>
      </c>
      <c r="H21" s="3">
        <v>3.3321747170491221E-3</v>
      </c>
      <c r="I21" s="3">
        <v>0</v>
      </c>
      <c r="K21" t="s">
        <v>136</v>
      </c>
      <c r="L21" s="3">
        <v>2.2198150242353991E-2</v>
      </c>
      <c r="M21" s="20">
        <f t="shared" si="0"/>
        <v>1.0040819626811907E-5</v>
      </c>
      <c r="N21" s="20">
        <f t="shared" si="2"/>
        <v>2.8058061368861279E-4</v>
      </c>
      <c r="O21" s="21">
        <f>VLOOKUP(K21,A:E,5,FALSE)</f>
        <v>74463225268.464447</v>
      </c>
      <c r="P21" s="22">
        <f t="shared" si="1"/>
        <v>7.8479447986005307E-4</v>
      </c>
      <c r="Q21" s="22">
        <f t="shared" si="3"/>
        <v>5.3699997141995227E-3</v>
      </c>
    </row>
    <row r="22" spans="1:17" x14ac:dyDescent="0.3">
      <c r="A22" t="s">
        <v>149</v>
      </c>
      <c r="B22" s="3">
        <v>0</v>
      </c>
      <c r="C22" s="3">
        <v>1.99884979669E-3</v>
      </c>
      <c r="D22" s="3">
        <v>1.99884979669E-3</v>
      </c>
      <c r="E22" s="3">
        <v>9828485690.6466026</v>
      </c>
      <c r="F22" s="3">
        <v>1137.2900567305433</v>
      </c>
      <c r="G22" s="3">
        <v>2.3625636328983399E-3</v>
      </c>
      <c r="H22" s="3">
        <v>2.3625636328983399E-3</v>
      </c>
      <c r="I22" s="3">
        <v>0</v>
      </c>
      <c r="K22" t="s">
        <v>149</v>
      </c>
      <c r="L22" s="3">
        <v>1.99884979669E-3</v>
      </c>
      <c r="M22" s="20">
        <f t="shared" si="0"/>
        <v>9.0413345483896588E-7</v>
      </c>
      <c r="N22" s="20">
        <f t="shared" si="2"/>
        <v>2.8148474714345174E-4</v>
      </c>
      <c r="O22" s="21">
        <f>VLOOKUP(K22,A:E,5,FALSE)</f>
        <v>9828485690.6466026</v>
      </c>
      <c r="P22" s="22">
        <f t="shared" si="1"/>
        <v>1.035859148941486E-4</v>
      </c>
      <c r="Q22" s="22">
        <f t="shared" si="3"/>
        <v>5.4735856290936717E-3</v>
      </c>
    </row>
    <row r="23" spans="1:17" x14ac:dyDescent="0.3">
      <c r="A23" t="s">
        <v>128</v>
      </c>
      <c r="B23" s="3">
        <v>0</v>
      </c>
      <c r="C23" s="3">
        <v>1.4831445499263999E-2</v>
      </c>
      <c r="D23" s="3">
        <v>1.4831445499263999E-2</v>
      </c>
      <c r="E23" s="3">
        <v>13595808327.378111</v>
      </c>
      <c r="F23" s="3">
        <v>1154.8730090988822</v>
      </c>
      <c r="G23" s="3">
        <v>1.2744640596861943E-2</v>
      </c>
      <c r="H23" s="3">
        <v>1.2744640596861943E-2</v>
      </c>
      <c r="I23" s="3">
        <v>0</v>
      </c>
      <c r="K23" t="s">
        <v>128</v>
      </c>
      <c r="L23" s="3">
        <v>1.4831445499263999E-2</v>
      </c>
      <c r="M23" s="20">
        <f t="shared" si="0"/>
        <v>6.7086611919069954E-6</v>
      </c>
      <c r="N23" s="20">
        <f t="shared" si="2"/>
        <v>2.8819340833535875E-4</v>
      </c>
      <c r="O23" s="21">
        <f>VLOOKUP(K23,A:E,5,FALSE)</f>
        <v>13595808327.378111</v>
      </c>
      <c r="P23" s="22">
        <f t="shared" si="1"/>
        <v>1.4329107134552826E-4</v>
      </c>
      <c r="Q23" s="22">
        <f t="shared" si="3"/>
        <v>5.6168767004391995E-3</v>
      </c>
    </row>
    <row r="24" spans="1:17" x14ac:dyDescent="0.3">
      <c r="A24" t="s">
        <v>135</v>
      </c>
      <c r="B24" s="3">
        <v>1.4410333413999998E-2</v>
      </c>
      <c r="C24" s="3">
        <v>8.4203233410059988E-2</v>
      </c>
      <c r="D24" s="3">
        <v>9.8613566824059987E-2</v>
      </c>
      <c r="E24" s="3">
        <v>63137226235.741531</v>
      </c>
      <c r="F24" s="3">
        <v>1158.4792809931553</v>
      </c>
      <c r="G24" s="3">
        <v>1.8216635534063209E-2</v>
      </c>
      <c r="H24" s="3">
        <v>1.5554650979792696E-2</v>
      </c>
      <c r="I24" s="3">
        <v>2.6619845542705128E-3</v>
      </c>
      <c r="K24" t="s">
        <v>135</v>
      </c>
      <c r="L24" s="3">
        <v>9.8613566824059987E-2</v>
      </c>
      <c r="M24" s="20">
        <f t="shared" si="0"/>
        <v>4.4605565167665425E-5</v>
      </c>
      <c r="N24" s="20">
        <f t="shared" si="2"/>
        <v>3.3279897350302416E-4</v>
      </c>
      <c r="O24" s="21">
        <f>VLOOKUP(K24,A:E,5,FALSE)</f>
        <v>63137226235.741531</v>
      </c>
      <c r="P24" s="22">
        <f t="shared" si="1"/>
        <v>6.6542573793764792E-4</v>
      </c>
      <c r="Q24" s="22">
        <f t="shared" si="3"/>
        <v>6.282302438376847E-3</v>
      </c>
    </row>
    <row r="25" spans="1:17" x14ac:dyDescent="0.3">
      <c r="A25" t="s">
        <v>132</v>
      </c>
      <c r="B25" s="3">
        <v>1.6801693321999997E-3</v>
      </c>
      <c r="C25" s="3">
        <v>7.873697911992E-3</v>
      </c>
      <c r="D25" s="3">
        <v>9.5538672441920006E-3</v>
      </c>
      <c r="E25" s="3">
        <v>34982690898.441475</v>
      </c>
      <c r="F25" s="3">
        <v>1179.8127276838616</v>
      </c>
      <c r="G25" s="3">
        <v>3.217373778353206E-3</v>
      </c>
      <c r="H25" s="3">
        <v>2.6515575895318931E-3</v>
      </c>
      <c r="I25" s="3">
        <v>5.6581618882131277E-4</v>
      </c>
      <c r="K25" t="s">
        <v>132</v>
      </c>
      <c r="L25" s="3">
        <v>9.5538672441920006E-3</v>
      </c>
      <c r="M25" s="20">
        <f t="shared" si="0"/>
        <v>4.3214707842821466E-6</v>
      </c>
      <c r="N25" s="20">
        <f t="shared" si="2"/>
        <v>3.3712044428730632E-4</v>
      </c>
      <c r="O25" s="21">
        <f>VLOOKUP(K25,A:E,5,FALSE)</f>
        <v>34982690898.441475</v>
      </c>
      <c r="P25" s="22">
        <f t="shared" si="1"/>
        <v>3.6869505193692421E-4</v>
      </c>
      <c r="Q25" s="22">
        <f t="shared" si="3"/>
        <v>6.650997490313771E-3</v>
      </c>
    </row>
    <row r="26" spans="1:17" x14ac:dyDescent="0.3">
      <c r="A26" t="s">
        <v>131</v>
      </c>
      <c r="B26" s="3">
        <v>0</v>
      </c>
      <c r="C26" s="3">
        <v>1.2655609174689997E-2</v>
      </c>
      <c r="D26" s="3">
        <v>1.2655609174689997E-2</v>
      </c>
      <c r="E26" s="3">
        <v>19159972710.824131</v>
      </c>
      <c r="F26" s="3">
        <v>1324.7831259743414</v>
      </c>
      <c r="G26" s="3">
        <v>8.9685909442851573E-3</v>
      </c>
      <c r="H26" s="3">
        <v>8.9685909442851573E-3</v>
      </c>
      <c r="I26" s="3">
        <v>0</v>
      </c>
      <c r="K26" t="s">
        <v>131</v>
      </c>
      <c r="L26" s="3">
        <v>1.2655609174689997E-2</v>
      </c>
      <c r="M26" s="20">
        <f t="shared" si="0"/>
        <v>5.7244719764097251E-6</v>
      </c>
      <c r="N26" s="20">
        <f t="shared" si="2"/>
        <v>3.4284491626371608E-4</v>
      </c>
      <c r="O26" s="21">
        <f>VLOOKUP(K26,A:E,5,FALSE)</f>
        <v>19159972710.824131</v>
      </c>
      <c r="P26" s="22">
        <f t="shared" si="1"/>
        <v>2.0193378360273801E-4</v>
      </c>
      <c r="Q26" s="22">
        <f t="shared" si="3"/>
        <v>6.8529312739165089E-3</v>
      </c>
    </row>
    <row r="27" spans="1:17" x14ac:dyDescent="0.3">
      <c r="A27" t="s">
        <v>134</v>
      </c>
      <c r="B27" s="3">
        <v>0.18966550091999998</v>
      </c>
      <c r="C27" s="3">
        <v>6.0795697461449999E-2</v>
      </c>
      <c r="D27" s="3">
        <v>0.25046119838144998</v>
      </c>
      <c r="E27" s="3">
        <v>28634291574.827019</v>
      </c>
      <c r="F27" s="3">
        <v>1343.3896638035292</v>
      </c>
      <c r="G27" s="3">
        <v>0.12085582965491883</v>
      </c>
      <c r="H27" s="3">
        <v>2.93359390741347E-2</v>
      </c>
      <c r="I27" s="3">
        <v>9.1519890580784122E-2</v>
      </c>
      <c r="K27" t="s">
        <v>134</v>
      </c>
      <c r="L27" s="3">
        <v>0.25046119838144998</v>
      </c>
      <c r="M27" s="20">
        <f t="shared" si="0"/>
        <v>1.1329032775285015E-4</v>
      </c>
      <c r="N27" s="20">
        <f t="shared" si="2"/>
        <v>4.5613524401656621E-4</v>
      </c>
      <c r="O27" s="21">
        <f>VLOOKUP(K27,A:E,5,FALSE)</f>
        <v>28634291574.827019</v>
      </c>
      <c r="P27" s="22">
        <f t="shared" si="1"/>
        <v>3.0178700803797293E-4</v>
      </c>
      <c r="Q27" s="22">
        <f t="shared" si="3"/>
        <v>7.1547182819544815E-3</v>
      </c>
    </row>
    <row r="28" spans="1:17" x14ac:dyDescent="0.3">
      <c r="A28" t="s">
        <v>123</v>
      </c>
      <c r="B28" s="3">
        <v>0</v>
      </c>
      <c r="C28" s="3">
        <v>2.9223926835096004E-2</v>
      </c>
      <c r="D28" s="3">
        <v>2.9223926835096004E-2</v>
      </c>
      <c r="E28" s="3">
        <v>10050558458.413731</v>
      </c>
      <c r="F28" s="3">
        <v>1391.6840432992863</v>
      </c>
      <c r="G28" s="3">
        <v>4.1161909694138528E-2</v>
      </c>
      <c r="H28" s="3">
        <v>4.1161909694138528E-2</v>
      </c>
      <c r="I28" s="3">
        <v>0</v>
      </c>
      <c r="K28" t="s">
        <v>123</v>
      </c>
      <c r="L28" s="3">
        <v>2.9223926835096004E-2</v>
      </c>
      <c r="M28" s="20">
        <f t="shared" si="0"/>
        <v>1.3218767101525406E-5</v>
      </c>
      <c r="N28" s="20">
        <f t="shared" si="2"/>
        <v>4.6935401111809164E-4</v>
      </c>
      <c r="O28" s="21">
        <f>VLOOKUP(K28,A:E,5,FALSE)</f>
        <v>10050558458.413731</v>
      </c>
      <c r="P28" s="22">
        <f t="shared" si="1"/>
        <v>1.0592641897038951E-4</v>
      </c>
      <c r="Q28" s="22">
        <f t="shared" si="3"/>
        <v>7.2606447009248712E-3</v>
      </c>
    </row>
    <row r="29" spans="1:17" x14ac:dyDescent="0.3">
      <c r="A29" t="s">
        <v>121</v>
      </c>
      <c r="B29" s="3">
        <v>7.3587631599999993E-3</v>
      </c>
      <c r="C29" s="3">
        <v>4.0479787962026004E-2</v>
      </c>
      <c r="D29" s="3">
        <v>4.7838551122026E-2</v>
      </c>
      <c r="E29" s="3">
        <v>23582865676.396053</v>
      </c>
      <c r="F29" s="3">
        <v>1417.7189411585307</v>
      </c>
      <c r="G29" s="3">
        <v>2.9275486338463268E-2</v>
      </c>
      <c r="H29" s="3">
        <v>2.477218585578253E-2</v>
      </c>
      <c r="I29" s="3">
        <v>4.5033004826807365E-3</v>
      </c>
      <c r="K29" t="s">
        <v>121</v>
      </c>
      <c r="L29" s="3">
        <v>4.7838551122026E-2</v>
      </c>
      <c r="M29" s="20">
        <f t="shared" si="0"/>
        <v>2.1638661680368292E-5</v>
      </c>
      <c r="N29" s="20">
        <f t="shared" si="2"/>
        <v>4.9099267279845995E-4</v>
      </c>
      <c r="O29" s="21">
        <f>VLOOKUP(K29,A:E,5,FALSE)</f>
        <v>23582865676.396053</v>
      </c>
      <c r="P29" s="22">
        <f t="shared" si="1"/>
        <v>2.4854822948361925E-4</v>
      </c>
      <c r="Q29" s="22">
        <f t="shared" si="3"/>
        <v>7.5091929304084903E-3</v>
      </c>
    </row>
    <row r="30" spans="1:17" x14ac:dyDescent="0.3">
      <c r="A30" t="s">
        <v>127</v>
      </c>
      <c r="B30" s="3">
        <v>0</v>
      </c>
      <c r="C30" s="3">
        <v>9.3443605584960007E-3</v>
      </c>
      <c r="D30" s="3">
        <v>9.3443605584960007E-3</v>
      </c>
      <c r="E30" s="3">
        <v>43124429828.964264</v>
      </c>
      <c r="F30" s="3">
        <v>1480.7309743199316</v>
      </c>
      <c r="G30" s="3">
        <v>3.2934351823977756E-3</v>
      </c>
      <c r="H30" s="3">
        <v>3.2934351823977756E-3</v>
      </c>
      <c r="I30" s="3">
        <v>0</v>
      </c>
      <c r="K30" t="s">
        <v>127</v>
      </c>
      <c r="L30" s="3">
        <v>9.3443605584960007E-3</v>
      </c>
      <c r="M30" s="20">
        <f t="shared" si="0"/>
        <v>4.2267052827102625E-6</v>
      </c>
      <c r="N30" s="20">
        <f t="shared" si="2"/>
        <v>4.9521937808117019E-4</v>
      </c>
      <c r="O30" s="21">
        <f>VLOOKUP(K30,A:E,5,FALSE)</f>
        <v>43124429828.964264</v>
      </c>
      <c r="P30" s="22">
        <f t="shared" si="1"/>
        <v>4.5450374134165244E-4</v>
      </c>
      <c r="Q30" s="22">
        <f t="shared" si="3"/>
        <v>7.9636966717501426E-3</v>
      </c>
    </row>
    <row r="31" spans="1:17" x14ac:dyDescent="0.3">
      <c r="A31" t="s">
        <v>137</v>
      </c>
      <c r="B31" s="3">
        <v>0</v>
      </c>
      <c r="C31" s="3">
        <v>1.7077774883251202E-2</v>
      </c>
      <c r="D31" s="3">
        <v>1.7077774883251202E-2</v>
      </c>
      <c r="E31" s="3">
        <v>15847607943.984638</v>
      </c>
      <c r="F31" s="3">
        <v>1496.3381339503744</v>
      </c>
      <c r="G31" s="3">
        <v>1.6437059930852562E-2</v>
      </c>
      <c r="H31" s="3">
        <v>1.6437059930852562E-2</v>
      </c>
      <c r="I31" s="3">
        <v>0</v>
      </c>
      <c r="K31" t="s">
        <v>137</v>
      </c>
      <c r="L31" s="3">
        <v>1.7077774883251202E-2</v>
      </c>
      <c r="M31" s="20">
        <f t="shared" si="0"/>
        <v>7.7247363117153202E-6</v>
      </c>
      <c r="N31" s="20">
        <f t="shared" si="2"/>
        <v>5.0294411439288553E-4</v>
      </c>
      <c r="O31" s="21">
        <f>VLOOKUP(K31,A:E,5,FALSE)</f>
        <v>15847607943.984638</v>
      </c>
      <c r="P31" s="22">
        <f t="shared" si="1"/>
        <v>1.6702359035061364E-4</v>
      </c>
      <c r="Q31" s="22">
        <f t="shared" si="3"/>
        <v>8.130720262100757E-3</v>
      </c>
    </row>
    <row r="32" spans="1:17" x14ac:dyDescent="0.3">
      <c r="A32" t="s">
        <v>106</v>
      </c>
      <c r="B32" s="3">
        <v>1.5949158622000001E-3</v>
      </c>
      <c r="C32" s="3">
        <v>4.7987040803758617E-2</v>
      </c>
      <c r="D32" s="3">
        <v>4.9581956665958618E-2</v>
      </c>
      <c r="E32" s="3">
        <v>42637366965.006409</v>
      </c>
      <c r="F32" s="3">
        <v>1501.0227744988508</v>
      </c>
      <c r="G32" s="3">
        <v>1.7519597347118436E-2</v>
      </c>
      <c r="H32" s="3">
        <v>1.6956039843800692E-2</v>
      </c>
      <c r="I32" s="3">
        <v>5.6355750331774437E-4</v>
      </c>
      <c r="K32" t="s">
        <v>106</v>
      </c>
      <c r="L32" s="3">
        <v>4.9581956665958618E-2</v>
      </c>
      <c r="M32" s="20">
        <f t="shared" si="0"/>
        <v>2.2427250838108626E-5</v>
      </c>
      <c r="N32" s="20">
        <f t="shared" si="2"/>
        <v>5.2537136523099417E-4</v>
      </c>
      <c r="O32" s="21">
        <f>VLOOKUP(K32,A:E,5,FALSE)</f>
        <v>42637366965.006409</v>
      </c>
      <c r="P32" s="22">
        <f t="shared" si="1"/>
        <v>4.493704121633791E-4</v>
      </c>
      <c r="Q32" s="22">
        <f t="shared" si="3"/>
        <v>8.5800906742641361E-3</v>
      </c>
    </row>
    <row r="33" spans="1:17" x14ac:dyDescent="0.3">
      <c r="A33" t="s">
        <v>129</v>
      </c>
      <c r="B33" s="3">
        <v>0.52377316808753993</v>
      </c>
      <c r="C33" s="3">
        <v>7.683024210712E-3</v>
      </c>
      <c r="D33" s="3">
        <v>0.53145619229825192</v>
      </c>
      <c r="E33" s="3">
        <v>27973016519.321728</v>
      </c>
      <c r="F33" s="3">
        <v>1511.8928067023369</v>
      </c>
      <c r="G33" s="3">
        <v>0.29398647279601742</v>
      </c>
      <c r="H33" s="3">
        <v>4.2500308037544642E-3</v>
      </c>
      <c r="I33" s="3">
        <v>0.28973644199226295</v>
      </c>
      <c r="K33" t="s">
        <v>129</v>
      </c>
      <c r="L33" s="3">
        <v>0.53145619229825192</v>
      </c>
      <c r="M33" s="20">
        <f t="shared" si="0"/>
        <v>2.403919114051879E-4</v>
      </c>
      <c r="N33" s="20">
        <f t="shared" si="2"/>
        <v>7.6576327663618209E-4</v>
      </c>
      <c r="O33" s="21">
        <f>VLOOKUP(K33,A:E,5,FALSE)</f>
        <v>27973016519.321728</v>
      </c>
      <c r="P33" s="22">
        <f t="shared" si="1"/>
        <v>2.9481759446021473E-4</v>
      </c>
      <c r="Q33" s="22">
        <f t="shared" si="3"/>
        <v>8.8749082687243509E-3</v>
      </c>
    </row>
    <row r="34" spans="1:17" x14ac:dyDescent="0.3">
      <c r="A34" t="s">
        <v>133</v>
      </c>
      <c r="B34" s="3">
        <v>1.9182535836374</v>
      </c>
      <c r="C34" s="3">
        <v>2.4914268824376844</v>
      </c>
      <c r="D34" s="3">
        <v>4.4096804660750841</v>
      </c>
      <c r="E34" s="3">
        <v>410716372191.50397</v>
      </c>
      <c r="F34" s="3">
        <v>1634.5673526079943</v>
      </c>
      <c r="G34" s="3">
        <v>0.1781656719436584</v>
      </c>
      <c r="H34" s="3">
        <v>0.10066188423922096</v>
      </c>
      <c r="I34" s="3">
        <v>7.7503787704437443E-2</v>
      </c>
      <c r="K34" t="s">
        <v>133</v>
      </c>
      <c r="L34" s="3">
        <v>4.4096804660750841</v>
      </c>
      <c r="M34" s="20">
        <f t="shared" si="0"/>
        <v>1.9946169247587035E-3</v>
      </c>
      <c r="N34" s="20">
        <f t="shared" si="2"/>
        <v>2.7603802013948858E-3</v>
      </c>
      <c r="O34" s="21">
        <f>VLOOKUP(K34,A:E,5,FALSE)</f>
        <v>410716372191.50397</v>
      </c>
      <c r="P34" s="22">
        <f t="shared" si="1"/>
        <v>4.3286862813414397E-3</v>
      </c>
      <c r="Q34" s="22">
        <f t="shared" si="3"/>
        <v>1.3203594550065791E-2</v>
      </c>
    </row>
    <row r="35" spans="1:17" x14ac:dyDescent="0.3">
      <c r="A35" t="s">
        <v>118</v>
      </c>
      <c r="B35" s="3">
        <v>0</v>
      </c>
      <c r="C35" s="3">
        <v>3.8861745811419996E-3</v>
      </c>
      <c r="D35" s="3">
        <v>3.8861745811419996E-3</v>
      </c>
      <c r="E35" s="3">
        <v>10636718505.673967</v>
      </c>
      <c r="F35" s="3">
        <v>1679.5806109770717</v>
      </c>
      <c r="G35" s="3">
        <v>6.2853741920511205E-3</v>
      </c>
      <c r="H35" s="3">
        <v>6.2853741920511205E-3</v>
      </c>
      <c r="I35" s="3">
        <v>0</v>
      </c>
      <c r="K35" t="s">
        <v>118</v>
      </c>
      <c r="L35" s="3">
        <v>3.8861745811419996E-3</v>
      </c>
      <c r="M35" s="20">
        <f t="shared" si="0"/>
        <v>1.757821150930738E-6</v>
      </c>
      <c r="N35" s="20">
        <f t="shared" si="2"/>
        <v>2.7621380225458167E-3</v>
      </c>
      <c r="O35" s="21">
        <f>VLOOKUP(K35,A:E,5,FALSE)</f>
        <v>10636718505.673967</v>
      </c>
      <c r="P35" s="22">
        <f t="shared" si="1"/>
        <v>1.1210416869511384E-4</v>
      </c>
      <c r="Q35" s="22">
        <f t="shared" si="3"/>
        <v>1.3315698718760904E-2</v>
      </c>
    </row>
    <row r="36" spans="1:17" x14ac:dyDescent="0.3">
      <c r="A36" t="s">
        <v>124</v>
      </c>
      <c r="B36" s="3">
        <v>0.26111979261679996</v>
      </c>
      <c r="C36" s="3">
        <v>2.3869954006400002E-3</v>
      </c>
      <c r="D36" s="3">
        <v>0.26350678801743999</v>
      </c>
      <c r="E36" s="3">
        <v>8729112418.5200901</v>
      </c>
      <c r="F36" s="3">
        <v>1688.6139322919007</v>
      </c>
      <c r="G36" s="3">
        <v>0.52465880239795748</v>
      </c>
      <c r="H36" s="3">
        <v>4.7526599130582117E-3</v>
      </c>
      <c r="I36" s="3">
        <v>0.51990614248489919</v>
      </c>
      <c r="K36" t="s">
        <v>124</v>
      </c>
      <c r="L36" s="3">
        <v>0.26350678801743999</v>
      </c>
      <c r="M36" s="20">
        <f t="shared" si="0"/>
        <v>1.1919119836730598E-4</v>
      </c>
      <c r="N36" s="20">
        <f t="shared" si="2"/>
        <v>2.8813292209131226E-3</v>
      </c>
      <c r="O36" s="21">
        <f>VLOOKUP(K36,A:E,5,FALSE)</f>
        <v>8729112418.5200901</v>
      </c>
      <c r="P36" s="22">
        <f t="shared" si="1"/>
        <v>9.1999228014014731E-5</v>
      </c>
      <c r="Q36" s="22">
        <f t="shared" si="3"/>
        <v>1.3407697946774919E-2</v>
      </c>
    </row>
    <row r="37" spans="1:17" x14ac:dyDescent="0.3">
      <c r="A37" t="s">
        <v>126</v>
      </c>
      <c r="B37" s="3">
        <v>0.25131341421399994</v>
      </c>
      <c r="C37" s="3">
        <v>8.6190951215280018E-2</v>
      </c>
      <c r="D37" s="3">
        <v>0.33750436542927997</v>
      </c>
      <c r="E37" s="3">
        <v>104966566488.39067</v>
      </c>
      <c r="F37" s="3">
        <v>1860.0228704777599</v>
      </c>
      <c r="G37" s="3">
        <v>6.0988515718159934E-2</v>
      </c>
      <c r="H37" s="3">
        <v>1.5575082047517196E-2</v>
      </c>
      <c r="I37" s="3">
        <v>4.5413433670642739E-2</v>
      </c>
      <c r="K37" t="s">
        <v>126</v>
      </c>
      <c r="L37" s="3">
        <v>0.33750436542927997</v>
      </c>
      <c r="M37" s="20">
        <f t="shared" si="0"/>
        <v>1.5266229030521449E-4</v>
      </c>
      <c r="N37" s="20">
        <f t="shared" si="2"/>
        <v>3.033991511218337E-3</v>
      </c>
      <c r="O37" s="21">
        <f>VLOOKUP(K37,A:E,5,FALSE)</f>
        <v>104966566488.39067</v>
      </c>
      <c r="P37" s="22">
        <f t="shared" si="1"/>
        <v>1.1062800684895847E-3</v>
      </c>
      <c r="Q37" s="22">
        <f t="shared" si="3"/>
        <v>1.4513978015264503E-2</v>
      </c>
    </row>
    <row r="38" spans="1:17" x14ac:dyDescent="0.3">
      <c r="A38" t="s">
        <v>116</v>
      </c>
      <c r="B38" s="3">
        <v>0.15848940309939999</v>
      </c>
      <c r="C38" s="3">
        <v>5.3026088989158005E-2</v>
      </c>
      <c r="D38" s="3">
        <v>0.21151549208855799</v>
      </c>
      <c r="E38" s="3">
        <v>336932927922.21008</v>
      </c>
      <c r="F38" s="3">
        <v>1941.2787436002548</v>
      </c>
      <c r="G38" s="3">
        <v>1.2335639185627391E-2</v>
      </c>
      <c r="H38" s="3">
        <v>3.0924954703618469E-3</v>
      </c>
      <c r="I38" s="3">
        <v>9.2431437152655435E-3</v>
      </c>
      <c r="K38" t="s">
        <v>116</v>
      </c>
      <c r="L38" s="3">
        <v>0.21151549208855799</v>
      </c>
      <c r="M38" s="20">
        <f t="shared" si="0"/>
        <v>9.5674138662481446E-5</v>
      </c>
      <c r="N38" s="20">
        <f t="shared" si="2"/>
        <v>3.1296656498808182E-3</v>
      </c>
      <c r="O38" s="21">
        <f>VLOOKUP(K38,A:E,5,FALSE)</f>
        <v>336932927922.21008</v>
      </c>
      <c r="P38" s="22">
        <f t="shared" si="1"/>
        <v>3.5510562557974521E-3</v>
      </c>
      <c r="Q38" s="22">
        <f t="shared" si="3"/>
        <v>1.8065034271061955E-2</v>
      </c>
    </row>
    <row r="39" spans="1:17" x14ac:dyDescent="0.3">
      <c r="A39" t="s">
        <v>120</v>
      </c>
      <c r="B39" s="3">
        <v>0.12727308244000002</v>
      </c>
      <c r="C39" s="3">
        <v>7.548304826848673E-2</v>
      </c>
      <c r="D39" s="3">
        <v>0.20275613070848675</v>
      </c>
      <c r="E39" s="3">
        <v>74629231909.51947</v>
      </c>
      <c r="F39" s="3">
        <v>2167.7269140667804</v>
      </c>
      <c r="G39" s="3">
        <v>6.000847838919169E-2</v>
      </c>
      <c r="H39" s="3">
        <v>2.2340251093478789E-2</v>
      </c>
      <c r="I39" s="3">
        <v>3.7668227295712904E-2</v>
      </c>
      <c r="K39" t="s">
        <v>120</v>
      </c>
      <c r="L39" s="3">
        <v>0.20275613070848675</v>
      </c>
      <c r="M39" s="20">
        <f t="shared" si="0"/>
        <v>9.1712044222038065E-5</v>
      </c>
      <c r="N39" s="20">
        <f t="shared" si="2"/>
        <v>3.2213776941028564E-3</v>
      </c>
      <c r="O39" s="21">
        <f>VLOOKUP(K39,A:E,5,FALSE)</f>
        <v>74629231909.51947</v>
      </c>
      <c r="P39" s="22">
        <f t="shared" si="1"/>
        <v>7.8654408303733127E-4</v>
      </c>
      <c r="Q39" s="22">
        <f t="shared" si="3"/>
        <v>1.8851578354099285E-2</v>
      </c>
    </row>
    <row r="40" spans="1:17" x14ac:dyDescent="0.3">
      <c r="A40" t="s">
        <v>119</v>
      </c>
      <c r="B40" s="3">
        <v>3.1862227667159999</v>
      </c>
      <c r="C40" s="3">
        <v>4.5390210652379998E-3</v>
      </c>
      <c r="D40" s="3">
        <v>3.1907617877812378</v>
      </c>
      <c r="E40" s="3">
        <v>38500536184.964561</v>
      </c>
      <c r="F40" s="3">
        <v>2182.7184390234097</v>
      </c>
      <c r="G40" s="3">
        <v>1.8312578988039621</v>
      </c>
      <c r="H40" s="3">
        <v>2.6050575791603248E-3</v>
      </c>
      <c r="I40" s="3">
        <v>1.8286528412248018</v>
      </c>
      <c r="K40" t="s">
        <v>119</v>
      </c>
      <c r="L40" s="3">
        <v>3.1907617877812378</v>
      </c>
      <c r="M40" s="20">
        <f t="shared" si="0"/>
        <v>1.4432672647699794E-3</v>
      </c>
      <c r="N40" s="20">
        <f t="shared" si="2"/>
        <v>4.6646449588728361E-3</v>
      </c>
      <c r="O40" s="21">
        <f>VLOOKUP(K40,A:E,5,FALSE)</f>
        <v>38500536184.964561</v>
      </c>
      <c r="P40" s="22">
        <f t="shared" si="1"/>
        <v>4.0577087764701784E-4</v>
      </c>
      <c r="Q40" s="22">
        <f t="shared" si="3"/>
        <v>1.9257349231746303E-2</v>
      </c>
    </row>
    <row r="41" spans="1:17" x14ac:dyDescent="0.3">
      <c r="A41" t="s">
        <v>94</v>
      </c>
      <c r="B41" s="3">
        <v>20.430164540879417</v>
      </c>
      <c r="C41" s="3">
        <v>0.1700757641108594</v>
      </c>
      <c r="D41" s="3">
        <v>20.600240304990276</v>
      </c>
      <c r="E41" s="3">
        <v>78535131747.32251</v>
      </c>
      <c r="F41" s="3">
        <v>2219.04248046875</v>
      </c>
      <c r="G41" s="3">
        <v>5.4594996000274874</v>
      </c>
      <c r="H41" s="3">
        <v>4.5073676442146937E-2</v>
      </c>
      <c r="I41" s="3">
        <v>5.4144259235853403</v>
      </c>
      <c r="K41" t="s">
        <v>94</v>
      </c>
      <c r="L41" s="3">
        <v>20.600240304990276</v>
      </c>
      <c r="M41" s="20">
        <f t="shared" si="0"/>
        <v>9.3180420401305242E-3</v>
      </c>
      <c r="N41" s="20">
        <f t="shared" si="2"/>
        <v>1.398268699900336E-2</v>
      </c>
      <c r="O41" s="21">
        <f>VLOOKUP(K41,A:E,5,FALSE)</f>
        <v>78535131747.32251</v>
      </c>
      <c r="P41" s="22">
        <f t="shared" si="1"/>
        <v>8.2770975401844419E-4</v>
      </c>
      <c r="Q41" s="22">
        <f t="shared" si="3"/>
        <v>2.0085058985764747E-2</v>
      </c>
    </row>
    <row r="42" spans="1:17" x14ac:dyDescent="0.3">
      <c r="A42" t="s">
        <v>114</v>
      </c>
      <c r="B42" s="3">
        <v>4.10388356348E-2</v>
      </c>
      <c r="C42" s="3">
        <v>6.3434013264420013E-3</v>
      </c>
      <c r="D42" s="3">
        <v>4.7382236961242004E-2</v>
      </c>
      <c r="E42" s="3">
        <v>15841222424.942118</v>
      </c>
      <c r="F42" s="3">
        <v>2290.4716250599495</v>
      </c>
      <c r="G42" s="3">
        <v>6.9438634578546599E-2</v>
      </c>
      <c r="H42" s="3">
        <v>9.2962501338250004E-3</v>
      </c>
      <c r="I42" s="3">
        <v>6.0142384444721586E-2</v>
      </c>
      <c r="K42" t="s">
        <v>114</v>
      </c>
      <c r="L42" s="3">
        <v>4.7382236961242004E-2</v>
      </c>
      <c r="M42" s="20">
        <f t="shared" si="0"/>
        <v>2.1432258528233114E-5</v>
      </c>
      <c r="N42" s="20">
        <f t="shared" si="2"/>
        <v>1.4004119257531594E-2</v>
      </c>
      <c r="O42" s="21">
        <f>VLOOKUP(K42,A:E,5,FALSE)</f>
        <v>15841222424.942118</v>
      </c>
      <c r="P42" s="22">
        <f t="shared" si="1"/>
        <v>1.6695629108876266E-4</v>
      </c>
      <c r="Q42" s="22">
        <f t="shared" si="3"/>
        <v>2.0252015276853511E-2</v>
      </c>
    </row>
    <row r="43" spans="1:17" x14ac:dyDescent="0.3">
      <c r="A43" t="s">
        <v>122</v>
      </c>
      <c r="B43" s="3">
        <v>3.9958582419999996E-4</v>
      </c>
      <c r="C43" s="3">
        <v>0.1837804041797918</v>
      </c>
      <c r="D43" s="3">
        <v>0.18417999000399179</v>
      </c>
      <c r="E43" s="3">
        <v>540898072115.8811</v>
      </c>
      <c r="F43" s="3">
        <v>2324.6488120275098</v>
      </c>
      <c r="G43" s="3">
        <v>8.082219141234628E-3</v>
      </c>
      <c r="H43" s="3">
        <v>8.0646844448930485E-3</v>
      </c>
      <c r="I43" s="3">
        <v>1.7534696341580103E-5</v>
      </c>
      <c r="K43" t="s">
        <v>122</v>
      </c>
      <c r="L43" s="3">
        <v>0.18417999000399179</v>
      </c>
      <c r="M43" s="20">
        <f t="shared" si="0"/>
        <v>8.3309556801251371E-5</v>
      </c>
      <c r="N43" s="20">
        <f t="shared" si="2"/>
        <v>1.4087428814332845E-2</v>
      </c>
      <c r="O43" s="21">
        <f>VLOOKUP(K43,A:E,5,FALSE)</f>
        <v>540898072115.8811</v>
      </c>
      <c r="P43" s="22">
        <f t="shared" si="1"/>
        <v>5.7007176311937649E-3</v>
      </c>
      <c r="Q43" s="22">
        <f t="shared" si="3"/>
        <v>2.5952732908047275E-2</v>
      </c>
    </row>
    <row r="44" spans="1:17" x14ac:dyDescent="0.3">
      <c r="A44" t="s">
        <v>115</v>
      </c>
      <c r="B44" s="3">
        <v>0</v>
      </c>
      <c r="C44" s="3">
        <v>1.8540099329353795E-2</v>
      </c>
      <c r="D44" s="3">
        <v>1.8540099329353795E-2</v>
      </c>
      <c r="E44" s="3">
        <v>76504096839.437027</v>
      </c>
      <c r="F44" s="3">
        <v>2395.676890892219</v>
      </c>
      <c r="G44" s="3">
        <v>5.9488882631353723E-3</v>
      </c>
      <c r="H44" s="3">
        <v>5.9488882631353723E-3</v>
      </c>
      <c r="I44" s="3">
        <v>0</v>
      </c>
      <c r="K44" t="s">
        <v>115</v>
      </c>
      <c r="L44" s="3">
        <v>1.8540099329353795E-2</v>
      </c>
      <c r="M44" s="20">
        <f t="shared" si="0"/>
        <v>8.3861849386904984E-6</v>
      </c>
      <c r="N44" s="20">
        <f t="shared" si="2"/>
        <v>1.4095814999271535E-2</v>
      </c>
      <c r="O44" s="21">
        <f>VLOOKUP(K44,A:E,5,FALSE)</f>
        <v>76504096839.437027</v>
      </c>
      <c r="P44" s="22">
        <f t="shared" si="1"/>
        <v>8.0630395298894402E-4</v>
      </c>
      <c r="Q44" s="22">
        <f t="shared" si="3"/>
        <v>2.6759036861036218E-2</v>
      </c>
    </row>
    <row r="45" spans="1:17" x14ac:dyDescent="0.3">
      <c r="A45" t="s">
        <v>117</v>
      </c>
      <c r="B45" s="3">
        <v>212.80944168829802</v>
      </c>
      <c r="C45" s="3">
        <v>5.0198287174169458</v>
      </c>
      <c r="D45" s="3">
        <v>217.82927040571496</v>
      </c>
      <c r="E45" s="3">
        <v>3477820532826.479</v>
      </c>
      <c r="F45" s="3">
        <v>2396.9499921354404</v>
      </c>
      <c r="G45" s="3">
        <v>1.514733855799528</v>
      </c>
      <c r="H45" s="3">
        <v>3.4906716137936798E-2</v>
      </c>
      <c r="I45" s="3">
        <v>1.4798271396615914</v>
      </c>
      <c r="K45" t="s">
        <v>117</v>
      </c>
      <c r="L45" s="3">
        <v>217.82927040571496</v>
      </c>
      <c r="M45" s="20">
        <f t="shared" si="0"/>
        <v>9.8530030191915766E-2</v>
      </c>
      <c r="N45" s="20">
        <f t="shared" si="2"/>
        <v>0.1126258451911873</v>
      </c>
      <c r="O45" s="21">
        <f>VLOOKUP(K45,A:E,5,FALSE)</f>
        <v>3477820532826.479</v>
      </c>
      <c r="P45" s="22">
        <f t="shared" si="1"/>
        <v>3.6653990560654277E-2</v>
      </c>
      <c r="Q45" s="22">
        <f t="shared" si="3"/>
        <v>6.3413027421690499E-2</v>
      </c>
    </row>
    <row r="46" spans="1:17" x14ac:dyDescent="0.3">
      <c r="A46" t="s">
        <v>111</v>
      </c>
      <c r="B46" s="3">
        <v>0</v>
      </c>
      <c r="C46" s="3">
        <v>1.7509380870782E-3</v>
      </c>
      <c r="D46" s="3">
        <v>1.7509380870782E-3</v>
      </c>
      <c r="E46" s="3">
        <v>27125951106.419441</v>
      </c>
      <c r="F46" s="3">
        <v>2564.7374818649341</v>
      </c>
      <c r="G46" s="3">
        <v>1.685273916820177E-3</v>
      </c>
      <c r="H46" s="3">
        <v>1.685273916820177E-3</v>
      </c>
      <c r="I46" s="3">
        <v>0</v>
      </c>
      <c r="K46" t="s">
        <v>111</v>
      </c>
      <c r="L46" s="3">
        <v>1.7509380870782E-3</v>
      </c>
      <c r="M46" s="20">
        <f t="shared" si="0"/>
        <v>7.9199632933932851E-7</v>
      </c>
      <c r="N46" s="20">
        <f t="shared" si="2"/>
        <v>0.11262663718751664</v>
      </c>
      <c r="O46" s="21">
        <f>VLOOKUP(K46,A:E,5,FALSE)</f>
        <v>27125951106.419441</v>
      </c>
      <c r="P46" s="22">
        <f t="shared" si="1"/>
        <v>2.8589007006506038E-4</v>
      </c>
      <c r="Q46" s="22">
        <f t="shared" si="3"/>
        <v>6.3698917491755561E-2</v>
      </c>
    </row>
    <row r="47" spans="1:17" x14ac:dyDescent="0.3">
      <c r="A47" t="s">
        <v>110</v>
      </c>
      <c r="B47" s="3">
        <v>2.8990872101759999</v>
      </c>
      <c r="C47" s="3">
        <v>0.126982217452944</v>
      </c>
      <c r="D47" s="3">
        <v>3.0260694276289439</v>
      </c>
      <c r="E47" s="3">
        <v>27858556649.763664</v>
      </c>
      <c r="F47" s="3">
        <v>2573.3715999564797</v>
      </c>
      <c r="G47" s="3">
        <v>2.8427541424759672</v>
      </c>
      <c r="H47" s="3">
        <v>0.11928980260310265</v>
      </c>
      <c r="I47" s="3">
        <v>2.723464339872864</v>
      </c>
      <c r="K47" t="s">
        <v>110</v>
      </c>
      <c r="L47" s="3">
        <v>3.0260694276289439</v>
      </c>
      <c r="M47" s="20">
        <f t="shared" si="0"/>
        <v>1.36877248641462E-3</v>
      </c>
      <c r="N47" s="20">
        <f t="shared" si="2"/>
        <v>0.11399540967393126</v>
      </c>
      <c r="O47" s="21">
        <f>VLOOKUP(K47,A:E,5,FALSE)</f>
        <v>27858556649.763664</v>
      </c>
      <c r="P47" s="22">
        <f t="shared" si="1"/>
        <v>2.9361126108597781E-4</v>
      </c>
      <c r="Q47" s="22">
        <f t="shared" si="3"/>
        <v>6.3992528752841532E-2</v>
      </c>
    </row>
    <row r="48" spans="1:17" x14ac:dyDescent="0.3">
      <c r="A48" t="s">
        <v>125</v>
      </c>
      <c r="B48" s="3">
        <v>0.47681152034199997</v>
      </c>
      <c r="C48" s="3">
        <v>7.8894135192528001E-3</v>
      </c>
      <c r="D48" s="3">
        <v>0.48470093386125279</v>
      </c>
      <c r="E48" s="3">
        <v>21142284373.384182</v>
      </c>
      <c r="F48" s="3">
        <v>2721.0781066308214</v>
      </c>
      <c r="G48" s="3">
        <v>0.63235665559153509</v>
      </c>
      <c r="H48" s="3">
        <v>1.0292786332946162E-2</v>
      </c>
      <c r="I48" s="3">
        <v>0.62206386925858892</v>
      </c>
      <c r="K48" t="s">
        <v>125</v>
      </c>
      <c r="L48" s="3">
        <v>0.48470093386125279</v>
      </c>
      <c r="M48" s="20">
        <f t="shared" si="0"/>
        <v>2.1924325210495693E-4</v>
      </c>
      <c r="N48" s="20">
        <f t="shared" si="2"/>
        <v>0.11421465292603622</v>
      </c>
      <c r="O48" s="21">
        <f>VLOOKUP(K48,A:E,5,FALSE)</f>
        <v>21142284373.384182</v>
      </c>
      <c r="P48" s="22">
        <f t="shared" si="1"/>
        <v>2.2282607297820486E-4</v>
      </c>
      <c r="Q48" s="22">
        <f t="shared" si="3"/>
        <v>6.4215354825819734E-2</v>
      </c>
    </row>
    <row r="49" spans="1:17" x14ac:dyDescent="0.3">
      <c r="A49" t="s">
        <v>112</v>
      </c>
      <c r="B49" s="3">
        <v>3.602772252E-3</v>
      </c>
      <c r="C49" s="3">
        <v>1.2604965379937999E-2</v>
      </c>
      <c r="D49" s="3">
        <v>1.6207737631937998E-2</v>
      </c>
      <c r="E49" s="3">
        <v>107803341999.57848</v>
      </c>
      <c r="F49" s="3">
        <v>2845.4777930297532</v>
      </c>
      <c r="G49" s="3">
        <v>4.4102800241007413E-3</v>
      </c>
      <c r="H49" s="3">
        <v>3.4299313255217573E-3</v>
      </c>
      <c r="I49" s="3">
        <v>9.8034869857898418E-4</v>
      </c>
      <c r="K49" t="s">
        <v>112</v>
      </c>
      <c r="L49" s="3">
        <v>1.6207737631937998E-2</v>
      </c>
      <c r="M49" s="20">
        <f t="shared" si="0"/>
        <v>7.3311950925746786E-6</v>
      </c>
      <c r="N49" s="20">
        <f t="shared" si="2"/>
        <v>0.1142219841211288</v>
      </c>
      <c r="O49" s="21">
        <f>VLOOKUP(K49,A:E,5,FALSE)</f>
        <v>107803341999.57848</v>
      </c>
      <c r="P49" s="22">
        <f t="shared" si="1"/>
        <v>1.136177857012119E-3</v>
      </c>
      <c r="Q49" s="22">
        <f t="shared" si="3"/>
        <v>6.535153268283185E-2</v>
      </c>
    </row>
    <row r="50" spans="1:17" x14ac:dyDescent="0.3">
      <c r="A50" t="s">
        <v>99</v>
      </c>
      <c r="B50" s="3">
        <v>0.33929433482539995</v>
      </c>
      <c r="C50" s="3">
        <v>1.8391596219576402E-2</v>
      </c>
      <c r="D50" s="3">
        <v>0.35768593104497637</v>
      </c>
      <c r="E50" s="3">
        <v>37806175459.305305</v>
      </c>
      <c r="F50" s="3">
        <v>3045.6147660238466</v>
      </c>
      <c r="G50" s="3">
        <v>0.29212780644630337</v>
      </c>
      <c r="H50" s="3">
        <v>1.5020710054137978E-2</v>
      </c>
      <c r="I50" s="3">
        <v>0.27710709639216541</v>
      </c>
      <c r="K50" t="s">
        <v>99</v>
      </c>
      <c r="L50" s="3">
        <v>0.35768593104497637</v>
      </c>
      <c r="M50" s="20">
        <f t="shared" si="0"/>
        <v>1.6179095453721168E-4</v>
      </c>
      <c r="N50" s="20">
        <f t="shared" si="2"/>
        <v>0.11438377507566601</v>
      </c>
      <c r="O50" s="21">
        <f>VLOOKUP(K50,A:E,5,FALSE)</f>
        <v>37806175459.305305</v>
      </c>
      <c r="P50" s="22">
        <f t="shared" si="1"/>
        <v>3.9845276239530329E-4</v>
      </c>
      <c r="Q50" s="22">
        <f t="shared" si="3"/>
        <v>6.5749985445227158E-2</v>
      </c>
    </row>
    <row r="51" spans="1:17" x14ac:dyDescent="0.3">
      <c r="A51" t="s">
        <v>109</v>
      </c>
      <c r="B51" s="3">
        <v>3.7591635159999995E-3</v>
      </c>
      <c r="C51" s="3">
        <v>0</v>
      </c>
      <c r="D51" s="3">
        <v>3.7591635159999995E-3</v>
      </c>
      <c r="E51" s="3">
        <v>3845591877.0947642</v>
      </c>
      <c r="F51" s="3">
        <v>3290.4248205259801</v>
      </c>
      <c r="G51" s="3">
        <v>3.2604909830833063E-2</v>
      </c>
      <c r="H51" s="3">
        <v>0</v>
      </c>
      <c r="I51" s="3">
        <v>3.2604909830833063E-2</v>
      </c>
      <c r="K51" t="s">
        <v>109</v>
      </c>
      <c r="L51" s="3">
        <v>3.7591635159999995E-3</v>
      </c>
      <c r="M51" s="20">
        <f t="shared" si="0"/>
        <v>1.700370634478839E-6</v>
      </c>
      <c r="N51" s="20">
        <f t="shared" si="2"/>
        <v>0.11438547544630048</v>
      </c>
      <c r="O51" s="21">
        <f>VLOOKUP(K51,A:E,5,FALSE)</f>
        <v>3845591877.0947642</v>
      </c>
      <c r="P51" s="22">
        <f t="shared" si="1"/>
        <v>4.0530063881301799E-5</v>
      </c>
      <c r="Q51" s="22">
        <f t="shared" si="3"/>
        <v>6.5790515509108458E-2</v>
      </c>
    </row>
    <row r="52" spans="1:17" x14ac:dyDescent="0.3">
      <c r="A52" t="s">
        <v>102</v>
      </c>
      <c r="B52" s="3">
        <v>2.6232995423305998</v>
      </c>
      <c r="C52" s="3">
        <v>0.30617792766766017</v>
      </c>
      <c r="D52" s="3">
        <v>2.9294774699982602</v>
      </c>
      <c r="E52" s="3">
        <v>135975581947.96526</v>
      </c>
      <c r="F52" s="3">
        <v>3516.15405273438</v>
      </c>
      <c r="G52" s="3">
        <v>0.77679206671587064</v>
      </c>
      <c r="H52" s="3">
        <v>8.1187374762737227E-2</v>
      </c>
      <c r="I52" s="3">
        <v>0.69560469195313335</v>
      </c>
      <c r="K52" t="s">
        <v>102</v>
      </c>
      <c r="L52" s="3">
        <v>2.9294774699982602</v>
      </c>
      <c r="M52" s="20">
        <f t="shared" si="0"/>
        <v>1.3250813493882628E-3</v>
      </c>
      <c r="N52" s="20">
        <f t="shared" si="2"/>
        <v>0.11571055679568874</v>
      </c>
      <c r="O52" s="21">
        <f>VLOOKUP(K52,A:E,5,FALSE)</f>
        <v>135975581947.96526</v>
      </c>
      <c r="P52" s="22">
        <f t="shared" si="1"/>
        <v>1.4330951382214015E-3</v>
      </c>
      <c r="Q52" s="22">
        <f t="shared" si="3"/>
        <v>6.7223610647329859E-2</v>
      </c>
    </row>
    <row r="53" spans="1:17" x14ac:dyDescent="0.3">
      <c r="A53" t="s">
        <v>81</v>
      </c>
      <c r="B53" s="3">
        <v>0.8895618692924</v>
      </c>
      <c r="C53" s="3">
        <v>7.363597624411999E-3</v>
      </c>
      <c r="D53" s="3">
        <v>0.89692546691681196</v>
      </c>
      <c r="E53" s="3">
        <v>9252510447.170393</v>
      </c>
      <c r="F53" s="3">
        <v>3851.5120251834664</v>
      </c>
      <c r="G53" s="3">
        <v>3.6493273283964123</v>
      </c>
      <c r="H53" s="3">
        <v>2.9960324505507601E-2</v>
      </c>
      <c r="I53" s="3">
        <v>3.6193670038909049</v>
      </c>
      <c r="K53" t="s">
        <v>81</v>
      </c>
      <c r="L53" s="3">
        <v>0.89692546691681196</v>
      </c>
      <c r="M53" s="20">
        <f t="shared" si="0"/>
        <v>4.0570348131181662E-4</v>
      </c>
      <c r="N53" s="20">
        <f t="shared" si="2"/>
        <v>0.11611626027700056</v>
      </c>
      <c r="O53" s="21">
        <f>VLOOKUP(K53,A:E,5,FALSE)</f>
        <v>9252510447.170393</v>
      </c>
      <c r="P53" s="22">
        <f t="shared" si="1"/>
        <v>9.7515506447744491E-5</v>
      </c>
      <c r="Q53" s="22">
        <f t="shared" si="3"/>
        <v>6.7321126153777611E-2</v>
      </c>
    </row>
    <row r="54" spans="1:17" x14ac:dyDescent="0.3">
      <c r="A54" t="s">
        <v>105</v>
      </c>
      <c r="B54" s="3">
        <v>0</v>
      </c>
      <c r="C54" s="3">
        <v>8.4589333311759982E-3</v>
      </c>
      <c r="D54" s="3">
        <v>8.4589333311759982E-3</v>
      </c>
      <c r="E54" s="3">
        <v>4802519614.2698231</v>
      </c>
      <c r="F54" s="3">
        <v>3864.205505108393</v>
      </c>
      <c r="G54" s="3">
        <v>6.874353583953266E-2</v>
      </c>
      <c r="H54" s="3">
        <v>6.874353583953266E-2</v>
      </c>
      <c r="I54" s="3">
        <v>0</v>
      </c>
      <c r="K54" t="s">
        <v>105</v>
      </c>
      <c r="L54" s="3">
        <v>8.4589333311759982E-3</v>
      </c>
      <c r="M54" s="20">
        <f t="shared" si="0"/>
        <v>3.826202764026276E-6</v>
      </c>
      <c r="N54" s="20">
        <f t="shared" si="2"/>
        <v>0.11612008647976459</v>
      </c>
      <c r="O54" s="21">
        <f>VLOOKUP(K54,A:E,5,FALSE)</f>
        <v>4802519614.2698231</v>
      </c>
      <c r="P54" s="22">
        <f t="shared" si="1"/>
        <v>5.0615466481744985E-5</v>
      </c>
      <c r="Q54" s="22">
        <f t="shared" si="3"/>
        <v>6.7371741620259357E-2</v>
      </c>
    </row>
    <row r="55" spans="1:17" x14ac:dyDescent="0.3">
      <c r="A55" t="s">
        <v>113</v>
      </c>
      <c r="B55" s="3">
        <v>0</v>
      </c>
      <c r="C55" s="3">
        <v>0.31284412554874974</v>
      </c>
      <c r="D55" s="3">
        <v>0.31284412554874974</v>
      </c>
      <c r="E55" s="3">
        <v>141462755525.29086</v>
      </c>
      <c r="F55" s="3">
        <v>3890.4159307501541</v>
      </c>
      <c r="G55" s="3">
        <v>8.7748634484929602E-2</v>
      </c>
      <c r="H55" s="3">
        <v>8.7748634484929602E-2</v>
      </c>
      <c r="I55" s="3">
        <v>0</v>
      </c>
      <c r="K55" t="s">
        <v>113</v>
      </c>
      <c r="L55" s="3">
        <v>0.31284412554874974</v>
      </c>
      <c r="M55" s="20">
        <f t="shared" si="0"/>
        <v>1.415078014000137E-4</v>
      </c>
      <c r="N55" s="20">
        <f t="shared" si="2"/>
        <v>0.1162615942811646</v>
      </c>
      <c r="O55" s="21">
        <f>VLOOKUP(K55,A:E,5,FALSE)</f>
        <v>141462755525.29086</v>
      </c>
      <c r="P55" s="22">
        <f t="shared" si="1"/>
        <v>1.490926416922981E-3</v>
      </c>
      <c r="Q55" s="22">
        <f t="shared" si="3"/>
        <v>6.8862668037182342E-2</v>
      </c>
    </row>
    <row r="56" spans="1:17" x14ac:dyDescent="0.3">
      <c r="A56" t="s">
        <v>103</v>
      </c>
      <c r="B56" s="3">
        <v>3.9632906419037996</v>
      </c>
      <c r="C56" s="3">
        <v>0.42695674468065015</v>
      </c>
      <c r="D56" s="3">
        <v>4.3902473865844502</v>
      </c>
      <c r="E56" s="3">
        <v>454721721977.44543</v>
      </c>
      <c r="F56" s="3">
        <v>3925.3048697218019</v>
      </c>
      <c r="G56" s="3">
        <v>0.38212216643195185</v>
      </c>
      <c r="H56" s="3">
        <v>3.7161832098266304E-2</v>
      </c>
      <c r="I56" s="3">
        <v>0.3449603343336855</v>
      </c>
      <c r="K56" t="s">
        <v>103</v>
      </c>
      <c r="L56" s="3">
        <v>4.3902473865844502</v>
      </c>
      <c r="M56" s="20">
        <f t="shared" si="0"/>
        <v>1.9858268209064166E-3</v>
      </c>
      <c r="N56" s="20">
        <f t="shared" si="2"/>
        <v>0.11824742110207102</v>
      </c>
      <c r="O56" s="21">
        <f>VLOOKUP(K56,A:E,5,FALSE)</f>
        <v>454721721977.44543</v>
      </c>
      <c r="P56" s="22">
        <f t="shared" si="1"/>
        <v>4.7924743521885861E-3</v>
      </c>
      <c r="Q56" s="22">
        <f t="shared" si="3"/>
        <v>7.3655142389370931E-2</v>
      </c>
    </row>
    <row r="57" spans="1:17" x14ac:dyDescent="0.3">
      <c r="A57" t="s">
        <v>101</v>
      </c>
      <c r="B57" s="3">
        <v>6.2986954459999994E-2</v>
      </c>
      <c r="C57" s="3">
        <v>6.6808835341901421E-2</v>
      </c>
      <c r="D57" s="3">
        <v>0.12979578980190143</v>
      </c>
      <c r="E57" s="3">
        <v>49184626298.035133</v>
      </c>
      <c r="F57" s="3">
        <v>4006.2058826744255</v>
      </c>
      <c r="G57" s="3">
        <v>0.10638623324200713</v>
      </c>
      <c r="H57" s="3">
        <v>5.4759405911071028E-2</v>
      </c>
      <c r="I57" s="3">
        <v>5.1626827330936091E-2</v>
      </c>
      <c r="K57" t="s">
        <v>101</v>
      </c>
      <c r="L57" s="3">
        <v>0.12979578980190143</v>
      </c>
      <c r="M57" s="20">
        <f t="shared" si="0"/>
        <v>5.8710122217024944E-5</v>
      </c>
      <c r="N57" s="20">
        <f t="shared" si="2"/>
        <v>0.11830613122428806</v>
      </c>
      <c r="O57" s="21">
        <f>VLOOKUP(K57,A:E,5,FALSE)</f>
        <v>49184626298.035133</v>
      </c>
      <c r="P57" s="22">
        <f t="shared" si="1"/>
        <v>5.1837431260212663E-4</v>
      </c>
      <c r="Q57" s="22">
        <f t="shared" si="3"/>
        <v>7.4173516701973058E-2</v>
      </c>
    </row>
    <row r="58" spans="1:17" x14ac:dyDescent="0.3">
      <c r="A58" t="s">
        <v>97</v>
      </c>
      <c r="B58" s="3">
        <v>2.1040622565653999</v>
      </c>
      <c r="C58" s="3">
        <v>0.76832581080231521</v>
      </c>
      <c r="D58" s="3">
        <v>2.8723880673677149</v>
      </c>
      <c r="E58" s="3">
        <v>46405988481.472862</v>
      </c>
      <c r="F58" s="3">
        <v>4016.834291432961</v>
      </c>
      <c r="G58" s="3">
        <v>2.5110014713142546</v>
      </c>
      <c r="H58" s="3">
        <v>0.6716596769395895</v>
      </c>
      <c r="I58" s="3">
        <v>1.8393417943746655</v>
      </c>
      <c r="K58" t="s">
        <v>97</v>
      </c>
      <c r="L58" s="3">
        <v>2.8723880673677149</v>
      </c>
      <c r="M58" s="20">
        <f t="shared" si="0"/>
        <v>1.2992582790802678E-3</v>
      </c>
      <c r="N58" s="20">
        <f t="shared" si="2"/>
        <v>0.11960538950336833</v>
      </c>
      <c r="O58" s="21">
        <f>VLOOKUP(K58,A:E,5,FALSE)</f>
        <v>46405988481.472862</v>
      </c>
      <c r="P58" s="22">
        <f t="shared" si="1"/>
        <v>4.8908925797138162E-4</v>
      </c>
      <c r="Q58" s="22">
        <f t="shared" si="3"/>
        <v>7.4662605959944436E-2</v>
      </c>
    </row>
    <row r="59" spans="1:17" x14ac:dyDescent="0.3">
      <c r="A59" t="s">
        <v>98</v>
      </c>
      <c r="B59" s="3">
        <v>21.813590911549994</v>
      </c>
      <c r="C59" s="3">
        <v>1.5155046221288906</v>
      </c>
      <c r="D59" s="3">
        <v>23.329095533678885</v>
      </c>
      <c r="E59" s="3">
        <v>405742875627.91882</v>
      </c>
      <c r="F59" s="3">
        <v>4017.7460411155357</v>
      </c>
      <c r="G59" s="3">
        <v>2.3247220682213783</v>
      </c>
      <c r="H59" s="3">
        <v>0.15101858683155528</v>
      </c>
      <c r="I59" s="3">
        <v>2.1737034813898228</v>
      </c>
      <c r="K59" t="s">
        <v>98</v>
      </c>
      <c r="L59" s="3">
        <v>23.329095533678885</v>
      </c>
      <c r="M59" s="20">
        <f t="shared" si="0"/>
        <v>1.0552376560790984E-2</v>
      </c>
      <c r="N59" s="20">
        <f t="shared" si="2"/>
        <v>0.1301577660641593</v>
      </c>
      <c r="O59" s="21">
        <f>VLOOKUP(K59,A:E,5,FALSE)</f>
        <v>405742875627.91882</v>
      </c>
      <c r="P59" s="22">
        <f t="shared" si="1"/>
        <v>4.2762688278315721E-3</v>
      </c>
      <c r="Q59" s="22">
        <f t="shared" si="3"/>
        <v>7.8938874787776003E-2</v>
      </c>
    </row>
    <row r="60" spans="1:17" x14ac:dyDescent="0.3">
      <c r="A60" t="s">
        <v>100</v>
      </c>
      <c r="B60" s="3">
        <v>0.48831579559419991</v>
      </c>
      <c r="C60" s="3">
        <v>4.4805236725999995E-2</v>
      </c>
      <c r="D60" s="3">
        <v>0.53312103232019992</v>
      </c>
      <c r="E60" s="3">
        <v>12224610619.857546</v>
      </c>
      <c r="F60" s="3">
        <v>4034.3505346328411</v>
      </c>
      <c r="G60" s="3">
        <v>1.7992033070833029</v>
      </c>
      <c r="H60" s="3">
        <v>0.15121093561293172</v>
      </c>
      <c r="I60" s="3">
        <v>1.6479923714703713</v>
      </c>
      <c r="K60" t="s">
        <v>100</v>
      </c>
      <c r="L60" s="3">
        <v>0.53312103232019992</v>
      </c>
      <c r="M60" s="20">
        <f t="shared" si="0"/>
        <v>2.4114496326695892E-4</v>
      </c>
      <c r="N60" s="20">
        <f t="shared" si="2"/>
        <v>0.13039891102742626</v>
      </c>
      <c r="O60" s="21">
        <f>VLOOKUP(K60,A:E,5,FALSE)</f>
        <v>12224610619.857546</v>
      </c>
      <c r="P60" s="22">
        <f t="shared" si="1"/>
        <v>1.2883952982581604E-4</v>
      </c>
      <c r="Q60" s="22">
        <f t="shared" si="3"/>
        <v>7.9067714317601817E-2</v>
      </c>
    </row>
    <row r="61" spans="1:17" x14ac:dyDescent="0.3">
      <c r="A61" t="s">
        <v>108</v>
      </c>
      <c r="B61" s="3">
        <v>14.647727722782799</v>
      </c>
      <c r="C61" s="3">
        <v>0.2787943699182055</v>
      </c>
      <c r="D61" s="3">
        <v>14.926522092701004</v>
      </c>
      <c r="E61" s="3">
        <v>482189779212.63232</v>
      </c>
      <c r="F61" s="3">
        <v>4137.6092923289816</v>
      </c>
      <c r="G61" s="3">
        <v>1.3032192329136267</v>
      </c>
      <c r="H61" s="3">
        <v>2.4341248594212602E-2</v>
      </c>
      <c r="I61" s="3">
        <v>1.278877984319414</v>
      </c>
      <c r="K61" t="s">
        <v>108</v>
      </c>
      <c r="L61" s="3">
        <v>14.926522092701004</v>
      </c>
      <c r="M61" s="20">
        <f t="shared" si="0"/>
        <v>6.7516668890038297E-3</v>
      </c>
      <c r="N61" s="20">
        <f t="shared" si="2"/>
        <v>0.13715057791643009</v>
      </c>
      <c r="O61" s="21">
        <f>VLOOKUP(K61,A:E,5,FALSE)</f>
        <v>482189779212.63232</v>
      </c>
      <c r="P61" s="22">
        <f t="shared" si="1"/>
        <v>5.0819700007175804E-3</v>
      </c>
      <c r="Q61" s="22">
        <f t="shared" si="3"/>
        <v>8.4149684318319401E-2</v>
      </c>
    </row>
    <row r="62" spans="1:17" x14ac:dyDescent="0.3">
      <c r="A62" t="s">
        <v>88</v>
      </c>
      <c r="B62" s="3">
        <v>0</v>
      </c>
      <c r="C62" s="3">
        <v>0.18679398693076998</v>
      </c>
      <c r="D62" s="3">
        <v>0.18679398693076998</v>
      </c>
      <c r="E62" s="3">
        <v>192469260104.18936</v>
      </c>
      <c r="F62" s="3">
        <v>4180.2961947731728</v>
      </c>
      <c r="G62" s="3">
        <v>4.1441581369974105E-2</v>
      </c>
      <c r="H62" s="3">
        <v>4.1441581369974105E-2</v>
      </c>
      <c r="I62" s="3">
        <v>0</v>
      </c>
      <c r="K62" t="s">
        <v>88</v>
      </c>
      <c r="L62" s="3">
        <v>0.18679398693076998</v>
      </c>
      <c r="M62" s="20">
        <f t="shared" si="0"/>
        <v>8.4491937826709155E-5</v>
      </c>
      <c r="N62" s="20">
        <f t="shared" si="2"/>
        <v>0.13723506985425679</v>
      </c>
      <c r="O62" s="21">
        <f>VLOOKUP(K62,A:E,5,FALSE)</f>
        <v>192469260104.18936</v>
      </c>
      <c r="P62" s="22">
        <f t="shared" si="1"/>
        <v>2.0285021542907366E-3</v>
      </c>
      <c r="Q62" s="22">
        <f t="shared" si="3"/>
        <v>8.6178186472610135E-2</v>
      </c>
    </row>
    <row r="63" spans="1:17" x14ac:dyDescent="0.3">
      <c r="A63" t="s">
        <v>104</v>
      </c>
      <c r="B63" s="3">
        <v>0.17453966492</v>
      </c>
      <c r="C63" s="3">
        <v>0.21518652528094007</v>
      </c>
      <c r="D63" s="3">
        <v>0.38972619020094007</v>
      </c>
      <c r="E63" s="3">
        <v>91751304716.640808</v>
      </c>
      <c r="F63" s="3">
        <v>4186.4986638365035</v>
      </c>
      <c r="G63" s="3">
        <v>0.17685083731948092</v>
      </c>
      <c r="H63" s="3">
        <v>9.7647831048209857E-2</v>
      </c>
      <c r="I63" s="3">
        <v>7.920300627127104E-2</v>
      </c>
      <c r="K63" t="s">
        <v>104</v>
      </c>
      <c r="L63" s="3">
        <v>0.38972619020094007</v>
      </c>
      <c r="M63" s="20">
        <f t="shared" si="0"/>
        <v>1.7628362439794259E-4</v>
      </c>
      <c r="N63" s="20">
        <f t="shared" si="2"/>
        <v>0.13741135347865474</v>
      </c>
      <c r="O63" s="21">
        <f>VLOOKUP(K63,A:E,5,FALSE)</f>
        <v>91751304716.640808</v>
      </c>
      <c r="P63" s="22">
        <f t="shared" si="1"/>
        <v>9.6699971297203836E-4</v>
      </c>
      <c r="Q63" s="22">
        <f t="shared" si="3"/>
        <v>8.7145186185582174E-2</v>
      </c>
    </row>
    <row r="64" spans="1:17" x14ac:dyDescent="0.3">
      <c r="A64" t="s">
        <v>96</v>
      </c>
      <c r="B64" s="3">
        <v>2.0317189843799995E-2</v>
      </c>
      <c r="C64" s="3">
        <v>0.48965369436811446</v>
      </c>
      <c r="D64" s="3">
        <v>0.5099708842119145</v>
      </c>
      <c r="E64" s="3">
        <v>1238236350136.5586</v>
      </c>
      <c r="F64" s="3">
        <v>4367.8626662119123</v>
      </c>
      <c r="G64" s="3">
        <v>1.8136162832946532E-2</v>
      </c>
      <c r="H64" s="3">
        <v>1.7413619890353896E-2</v>
      </c>
      <c r="I64" s="3">
        <v>7.2254294259263422E-4</v>
      </c>
      <c r="K64" t="s">
        <v>96</v>
      </c>
      <c r="L64" s="3">
        <v>0.5099708842119145</v>
      </c>
      <c r="M64" s="20">
        <f t="shared" si="0"/>
        <v>2.3067352943344211E-4</v>
      </c>
      <c r="N64" s="20">
        <f t="shared" si="2"/>
        <v>0.13764202700808817</v>
      </c>
      <c r="O64" s="21">
        <f>VLOOKUP(K64,A:E,5,FALSE)</f>
        <v>1238236350136.5586</v>
      </c>
      <c r="P64" s="22">
        <f t="shared" si="1"/>
        <v>1.3050214368847339E-2</v>
      </c>
      <c r="Q64" s="22">
        <f t="shared" si="3"/>
        <v>0.10019540055442952</v>
      </c>
    </row>
    <row r="65" spans="1:17" x14ac:dyDescent="0.3">
      <c r="A65" t="s">
        <v>90</v>
      </c>
      <c r="B65" s="3">
        <v>0.50178688481400002</v>
      </c>
      <c r="C65" s="3">
        <v>4.3814015288176002E-2</v>
      </c>
      <c r="D65" s="3">
        <v>0.54560090010217599</v>
      </c>
      <c r="E65" s="3">
        <v>83989981406.969528</v>
      </c>
      <c r="F65" s="3">
        <v>4563.09590652717</v>
      </c>
      <c r="G65" s="3">
        <v>0.30102387679392006</v>
      </c>
      <c r="H65" s="3">
        <v>2.4173465874936923E-2</v>
      </c>
      <c r="I65" s="3">
        <v>0.2768504109189831</v>
      </c>
      <c r="K65" t="s">
        <v>90</v>
      </c>
      <c r="L65" s="3">
        <v>0.54560090010217599</v>
      </c>
      <c r="M65" s="20">
        <f t="shared" si="0"/>
        <v>2.4678994269079378E-4</v>
      </c>
      <c r="N65" s="20">
        <f t="shared" si="2"/>
        <v>0.13788881695077895</v>
      </c>
      <c r="O65" s="21">
        <f>VLOOKUP(K65,A:E,5,FALSE)</f>
        <v>83989981406.969528</v>
      </c>
      <c r="P65" s="22">
        <f t="shared" si="1"/>
        <v>8.85200359426997E-4</v>
      </c>
      <c r="Q65" s="22">
        <f t="shared" si="3"/>
        <v>0.10108060091385651</v>
      </c>
    </row>
    <row r="66" spans="1:17" x14ac:dyDescent="0.3">
      <c r="A66" t="s">
        <v>93</v>
      </c>
      <c r="B66" s="3">
        <v>1.6299166628519999</v>
      </c>
      <c r="C66" s="3">
        <v>6.0297673897259998E-2</v>
      </c>
      <c r="D66" s="3">
        <v>1.6902143367492599</v>
      </c>
      <c r="E66" s="3">
        <v>29062047321.266548</v>
      </c>
      <c r="F66" s="3">
        <v>4585.2259975779452</v>
      </c>
      <c r="G66" s="3">
        <v>2.6787877324374003</v>
      </c>
      <c r="H66" s="3">
        <v>9.5564607173517779E-2</v>
      </c>
      <c r="I66" s="3">
        <v>2.5832231252638822</v>
      </c>
      <c r="K66" t="s">
        <v>93</v>
      </c>
      <c r="L66" s="3">
        <v>1.6902143367492599</v>
      </c>
      <c r="M66" s="20">
        <f t="shared" si="0"/>
        <v>7.6452934594387826E-4</v>
      </c>
      <c r="N66" s="20">
        <f t="shared" si="2"/>
        <v>0.13865334629672282</v>
      </c>
      <c r="O66" s="21">
        <f>VLOOKUP(K66,A:E,5,FALSE)</f>
        <v>29062047321.266548</v>
      </c>
      <c r="P66" s="22">
        <f t="shared" si="1"/>
        <v>3.0629527835964983E-4</v>
      </c>
      <c r="Q66" s="22">
        <f t="shared" si="3"/>
        <v>0.10138689619221616</v>
      </c>
    </row>
    <row r="67" spans="1:17" x14ac:dyDescent="0.3">
      <c r="A67" t="s">
        <v>89</v>
      </c>
      <c r="B67" s="3">
        <v>0.84804094965999988</v>
      </c>
      <c r="C67" s="3">
        <v>1.0603387698013597E-2</v>
      </c>
      <c r="D67" s="3">
        <v>0.85864433735801349</v>
      </c>
      <c r="E67" s="3">
        <v>16308475359.187122</v>
      </c>
      <c r="F67" s="3">
        <v>4626.796096442431</v>
      </c>
      <c r="G67" s="3">
        <v>2.4665572314799111</v>
      </c>
      <c r="H67" s="3">
        <v>3.0459483009221383E-2</v>
      </c>
      <c r="I67" s="3">
        <v>2.4360977484706896</v>
      </c>
      <c r="K67" t="s">
        <v>89</v>
      </c>
      <c r="L67" s="3">
        <v>0.85864433735801349</v>
      </c>
      <c r="M67" s="20">
        <f t="shared" ref="M67:M130" si="4">L67/L$153</f>
        <v>3.8838789812970398E-4</v>
      </c>
      <c r="N67" s="20">
        <f t="shared" ref="N67:N130" si="5">N66+M67</f>
        <v>0.13904173419485252</v>
      </c>
      <c r="O67" s="21">
        <f>VLOOKUP(K67,A:E,5,FALSE)</f>
        <v>16308475359.187122</v>
      </c>
      <c r="P67" s="22">
        <f t="shared" ref="P67:P130" si="6">O67/O$153</f>
        <v>1.7188083635485645E-4</v>
      </c>
      <c r="Q67" s="22">
        <f t="shared" si="3"/>
        <v>0.10155877702857102</v>
      </c>
    </row>
    <row r="68" spans="1:17" x14ac:dyDescent="0.3">
      <c r="A68" t="s">
        <v>92</v>
      </c>
      <c r="B68" s="3">
        <v>1.4731524079779996</v>
      </c>
      <c r="C68" s="3">
        <v>0.1742985642740344</v>
      </c>
      <c r="D68" s="3">
        <v>1.6474509722520341</v>
      </c>
      <c r="E68" s="3">
        <v>223104305329.36099</v>
      </c>
      <c r="F68" s="3">
        <v>4765.7290016838651</v>
      </c>
      <c r="G68" s="3">
        <v>0.35686750646686649</v>
      </c>
      <c r="H68" s="3">
        <v>3.7756203408105836E-2</v>
      </c>
      <c r="I68" s="3">
        <v>0.31911130305876068</v>
      </c>
      <c r="K68" t="s">
        <v>92</v>
      </c>
      <c r="L68" s="3">
        <v>1.6474509722520341</v>
      </c>
      <c r="M68" s="20">
        <f t="shared" si="4"/>
        <v>7.4518632750025121E-4</v>
      </c>
      <c r="N68" s="20">
        <f t="shared" si="5"/>
        <v>0.13978692052235278</v>
      </c>
      <c r="O68" s="21">
        <f>VLOOKUP(K68,A:E,5,FALSE)</f>
        <v>223104305329.36099</v>
      </c>
      <c r="P68" s="22">
        <f t="shared" si="6"/>
        <v>2.3513758183886543E-3</v>
      </c>
      <c r="Q68" s="22">
        <f t="shared" ref="Q68:Q131" si="7">P68+Q67</f>
        <v>0.10391015284695967</v>
      </c>
    </row>
    <row r="69" spans="1:17" x14ac:dyDescent="0.3">
      <c r="A69" t="s">
        <v>83</v>
      </c>
      <c r="B69" s="3">
        <v>0</v>
      </c>
      <c r="C69" s="3">
        <v>1.2623913520000001E-4</v>
      </c>
      <c r="D69" s="3">
        <v>1.2623913520000001E-4</v>
      </c>
      <c r="E69" s="3">
        <v>9541952850.6271133</v>
      </c>
      <c r="F69" s="3">
        <v>5041.940385511728</v>
      </c>
      <c r="G69" s="3">
        <v>6.832789560655767E-4</v>
      </c>
      <c r="H69" s="3">
        <v>6.832789560655767E-4</v>
      </c>
      <c r="I69" s="3">
        <v>0</v>
      </c>
      <c r="K69" t="s">
        <v>83</v>
      </c>
      <c r="L69" s="3">
        <v>1.2623913520000001E-4</v>
      </c>
      <c r="M69" s="20">
        <f t="shared" si="4"/>
        <v>5.7101351804054911E-8</v>
      </c>
      <c r="N69" s="20">
        <f t="shared" si="5"/>
        <v>0.13978697762370459</v>
      </c>
      <c r="O69" s="21">
        <f>VLOOKUP(K69,A:E,5,FALSE)</f>
        <v>9541952850.6271133</v>
      </c>
      <c r="P69" s="22">
        <f t="shared" si="6"/>
        <v>1.0056604313415983E-4</v>
      </c>
      <c r="Q69" s="22">
        <f t="shared" si="7"/>
        <v>0.10401071889009383</v>
      </c>
    </row>
    <row r="70" spans="1:17" x14ac:dyDescent="0.3">
      <c r="A70" t="s">
        <v>72</v>
      </c>
      <c r="B70" s="3">
        <v>0.22110057178539999</v>
      </c>
      <c r="C70" s="3">
        <v>5.081339545417999E-2</v>
      </c>
      <c r="D70" s="3">
        <v>0.27191396723958</v>
      </c>
      <c r="E70" s="3">
        <v>16315127652.444309</v>
      </c>
      <c r="F70" s="3">
        <v>5378.3179998168152</v>
      </c>
      <c r="G70" s="3">
        <v>0.91729570974456021</v>
      </c>
      <c r="H70" s="3">
        <v>0.17141785734972842</v>
      </c>
      <c r="I70" s="3">
        <v>0.74587785239483184</v>
      </c>
      <c r="K70" t="s">
        <v>72</v>
      </c>
      <c r="L70" s="3">
        <v>0.27191396723958</v>
      </c>
      <c r="M70" s="20">
        <f t="shared" si="4"/>
        <v>1.2299399135763027E-4</v>
      </c>
      <c r="N70" s="20">
        <f t="shared" si="5"/>
        <v>0.13990997161506222</v>
      </c>
      <c r="O70" s="21">
        <f>VLOOKUP(K70,A:E,5,FALSE)</f>
        <v>16315127652.444309</v>
      </c>
      <c r="P70" s="22">
        <f t="shared" si="6"/>
        <v>1.7195094724527018E-4</v>
      </c>
      <c r="Q70" s="22">
        <f t="shared" si="7"/>
        <v>0.10418266983733911</v>
      </c>
    </row>
    <row r="71" spans="1:17" x14ac:dyDescent="0.3">
      <c r="A71" t="s">
        <v>86</v>
      </c>
      <c r="B71" s="3">
        <v>18.397800745465794</v>
      </c>
      <c r="C71" s="3">
        <v>3.2389275243694899</v>
      </c>
      <c r="D71" s="3">
        <v>21.636728269835285</v>
      </c>
      <c r="E71" s="3">
        <v>365831497261.34131</v>
      </c>
      <c r="F71" s="3">
        <v>5715.4753146914782</v>
      </c>
      <c r="G71" s="3">
        <v>3.4228622463970484</v>
      </c>
      <c r="H71" s="3">
        <v>0.51238813020712681</v>
      </c>
      <c r="I71" s="3">
        <v>2.9104741161899219</v>
      </c>
      <c r="K71" t="s">
        <v>86</v>
      </c>
      <c r="L71" s="3">
        <v>21.636728269835285</v>
      </c>
      <c r="M71" s="20">
        <f t="shared" si="4"/>
        <v>9.7868733880918154E-3</v>
      </c>
      <c r="N71" s="20">
        <f t="shared" si="5"/>
        <v>0.14969684500315403</v>
      </c>
      <c r="O71" s="21">
        <f>VLOOKUP(K71,A:E,5,FALSE)</f>
        <v>365831497261.34131</v>
      </c>
      <c r="P71" s="22">
        <f t="shared" si="6"/>
        <v>3.8556285814177341E-3</v>
      </c>
      <c r="Q71" s="22">
        <f t="shared" si="7"/>
        <v>0.10803829841875684</v>
      </c>
    </row>
    <row r="72" spans="1:17" x14ac:dyDescent="0.3">
      <c r="A72" t="s">
        <v>95</v>
      </c>
      <c r="B72" s="3">
        <v>0.60687832711640011</v>
      </c>
      <c r="C72" s="3">
        <v>7.2716455294334001E-2</v>
      </c>
      <c r="D72" s="3">
        <v>0.67959478241073412</v>
      </c>
      <c r="E72" s="3">
        <v>534246745197.83569</v>
      </c>
      <c r="F72" s="3">
        <v>5834.4429693986294</v>
      </c>
      <c r="G72" s="3">
        <v>7.5003253540604456E-2</v>
      </c>
      <c r="H72" s="3">
        <v>8.0253275542640744E-3</v>
      </c>
      <c r="I72" s="3">
        <v>6.6977925986340378E-2</v>
      </c>
      <c r="K72" t="s">
        <v>95</v>
      </c>
      <c r="L72" s="3">
        <v>0.67959478241073412</v>
      </c>
      <c r="M72" s="20">
        <f t="shared" si="4"/>
        <v>3.073989749149951E-4</v>
      </c>
      <c r="N72" s="20">
        <f t="shared" si="5"/>
        <v>0.15000424397806902</v>
      </c>
      <c r="O72" s="21">
        <f>VLOOKUP(K72,A:E,5,FALSE)</f>
        <v>534246745197.83569</v>
      </c>
      <c r="P72" s="22">
        <f t="shared" si="6"/>
        <v>5.6306169253727764E-3</v>
      </c>
      <c r="Q72" s="22">
        <f t="shared" si="7"/>
        <v>0.11366891534412962</v>
      </c>
    </row>
    <row r="73" spans="1:17" x14ac:dyDescent="0.3">
      <c r="A73" t="s">
        <v>79</v>
      </c>
      <c r="B73" s="3">
        <v>9.1201645905999981E-2</v>
      </c>
      <c r="C73" s="3">
        <v>1.0673845574565799E-2</v>
      </c>
      <c r="D73" s="3">
        <v>0.10187549148056578</v>
      </c>
      <c r="E73" s="3">
        <v>59902281408.462158</v>
      </c>
      <c r="F73" s="3">
        <v>5871.143732519522</v>
      </c>
      <c r="G73" s="3">
        <v>0.10033081826866506</v>
      </c>
      <c r="H73" s="3">
        <v>1.0512004850291679E-2</v>
      </c>
      <c r="I73" s="3">
        <v>8.9818813418373389E-2</v>
      </c>
      <c r="K73" t="s">
        <v>79</v>
      </c>
      <c r="L73" s="3">
        <v>0.10187549148056578</v>
      </c>
      <c r="M73" s="20">
        <f t="shared" si="4"/>
        <v>4.6081021309489968E-5</v>
      </c>
      <c r="N73" s="20">
        <f t="shared" si="5"/>
        <v>0.15005032499937851</v>
      </c>
      <c r="O73" s="21">
        <f>VLOOKUP(K73,A:E,5,FALSE)</f>
        <v>59902281408.462158</v>
      </c>
      <c r="P73" s="22">
        <f t="shared" si="6"/>
        <v>6.3133150103147591E-4</v>
      </c>
      <c r="Q73" s="22">
        <f t="shared" si="7"/>
        <v>0.1143002468451611</v>
      </c>
    </row>
    <row r="74" spans="1:17" x14ac:dyDescent="0.3">
      <c r="A74" t="s">
        <v>82</v>
      </c>
      <c r="B74" s="3">
        <v>4.4327251909999997E-2</v>
      </c>
      <c r="C74" s="3">
        <v>2.9158879749568201E-2</v>
      </c>
      <c r="D74" s="3">
        <v>7.3486131659568202E-2</v>
      </c>
      <c r="E74" s="3">
        <v>108801876280.21585</v>
      </c>
      <c r="F74" s="3">
        <v>5999.3939106659254</v>
      </c>
      <c r="G74" s="3">
        <v>4.0870852297827658E-2</v>
      </c>
      <c r="H74" s="3">
        <v>1.6217322105558801E-2</v>
      </c>
      <c r="I74" s="3">
        <v>2.4653530192268854E-2</v>
      </c>
      <c r="K74" t="s">
        <v>82</v>
      </c>
      <c r="L74" s="3">
        <v>7.3486131659568202E-2</v>
      </c>
      <c r="M74" s="20">
        <f t="shared" si="4"/>
        <v>3.3239751286034643E-5</v>
      </c>
      <c r="N74" s="20">
        <f t="shared" si="5"/>
        <v>0.15008356475066453</v>
      </c>
      <c r="O74" s="21">
        <f>VLOOKUP(K74,A:E,5,FALSE)</f>
        <v>108801876280.21585</v>
      </c>
      <c r="P74" s="22">
        <f t="shared" si="6"/>
        <v>1.1467017658083058E-3</v>
      </c>
      <c r="Q74" s="22">
        <f t="shared" si="7"/>
        <v>0.11544694861096941</v>
      </c>
    </row>
    <row r="75" spans="1:17" x14ac:dyDescent="0.3">
      <c r="A75" t="s">
        <v>77</v>
      </c>
      <c r="B75" s="3">
        <v>0</v>
      </c>
      <c r="C75" s="3">
        <v>2.7128449634000002E-3</v>
      </c>
      <c r="D75" s="3">
        <v>2.7128449634000002E-3</v>
      </c>
      <c r="E75" s="3">
        <v>2623588473.3599687</v>
      </c>
      <c r="F75" s="3">
        <v>6290.4929445274884</v>
      </c>
      <c r="G75" s="3">
        <v>6.5988941134403303E-2</v>
      </c>
      <c r="H75" s="3">
        <v>6.5988941134403303E-2</v>
      </c>
      <c r="I75" s="3">
        <v>0</v>
      </c>
      <c r="K75" t="s">
        <v>77</v>
      </c>
      <c r="L75" s="3">
        <v>2.7128449634000002E-3</v>
      </c>
      <c r="M75" s="20">
        <f t="shared" si="4"/>
        <v>1.2270926476131457E-6</v>
      </c>
      <c r="N75" s="20">
        <f t="shared" si="5"/>
        <v>0.15008479184331214</v>
      </c>
      <c r="O75" s="21">
        <f>VLOOKUP(K75,A:E,5,FALSE)</f>
        <v>2623588473.3599687</v>
      </c>
      <c r="P75" s="22">
        <f t="shared" si="6"/>
        <v>2.7650934322198298E-5</v>
      </c>
      <c r="Q75" s="22">
        <f t="shared" si="7"/>
        <v>0.1154745995452916</v>
      </c>
    </row>
    <row r="76" spans="1:17" x14ac:dyDescent="0.3">
      <c r="A76" t="s">
        <v>68</v>
      </c>
      <c r="B76" s="3">
        <v>0.106860713532</v>
      </c>
      <c r="C76" s="3">
        <v>3.2218629641184E-2</v>
      </c>
      <c r="D76" s="3">
        <v>0.13907934317318399</v>
      </c>
      <c r="E76" s="3">
        <v>15568367220.799885</v>
      </c>
      <c r="F76" s="3">
        <v>6549.2338741539725</v>
      </c>
      <c r="G76" s="3">
        <v>0.57611379491355563</v>
      </c>
      <c r="H76" s="3">
        <v>0.13346048784817499</v>
      </c>
      <c r="I76" s="3">
        <v>0.44265330706538059</v>
      </c>
      <c r="K76" t="s">
        <v>68</v>
      </c>
      <c r="L76" s="3">
        <v>0.13907934317318399</v>
      </c>
      <c r="M76" s="20">
        <f t="shared" si="4"/>
        <v>6.290932277559567E-5</v>
      </c>
      <c r="N76" s="20">
        <f t="shared" si="5"/>
        <v>0.15014770116608772</v>
      </c>
      <c r="O76" s="21">
        <f>VLOOKUP(K76,A:E,5,FALSE)</f>
        <v>15568367220.799885</v>
      </c>
      <c r="P76" s="22">
        <f t="shared" si="6"/>
        <v>1.6408057280984197E-4</v>
      </c>
      <c r="Q76" s="22">
        <f t="shared" si="7"/>
        <v>0.11563868011810144</v>
      </c>
    </row>
    <row r="77" spans="1:17" x14ac:dyDescent="0.3">
      <c r="A77" t="s">
        <v>78</v>
      </c>
      <c r="B77" s="3">
        <v>9.0600148510367919</v>
      </c>
      <c r="C77" s="3">
        <v>2.0524855947541623</v>
      </c>
      <c r="D77" s="3">
        <v>11.112500445790953</v>
      </c>
      <c r="E77" s="3">
        <v>471178549995.25305</v>
      </c>
      <c r="F77" s="3">
        <v>6574.4610938798487</v>
      </c>
      <c r="G77" s="3">
        <v>1.5498079592123968</v>
      </c>
      <c r="H77" s="3">
        <v>0.28625047318883418</v>
      </c>
      <c r="I77" s="3">
        <v>1.2635574860235628</v>
      </c>
      <c r="K77" t="s">
        <v>78</v>
      </c>
      <c r="L77" s="3">
        <v>11.112500445790953</v>
      </c>
      <c r="M77" s="20">
        <f t="shared" si="4"/>
        <v>5.0264824483511371E-3</v>
      </c>
      <c r="N77" s="20">
        <f t="shared" si="5"/>
        <v>0.15517418361443885</v>
      </c>
      <c r="O77" s="21">
        <f>VLOOKUP(K77,A:E,5,FALSE)</f>
        <v>471178549995.25305</v>
      </c>
      <c r="P77" s="22">
        <f t="shared" si="6"/>
        <v>4.965918730105579E-3</v>
      </c>
      <c r="Q77" s="22">
        <f t="shared" si="7"/>
        <v>0.12060459884820701</v>
      </c>
    </row>
    <row r="78" spans="1:17" x14ac:dyDescent="0.3">
      <c r="A78" t="s">
        <v>76</v>
      </c>
      <c r="B78" s="3">
        <v>0</v>
      </c>
      <c r="C78" s="3">
        <v>1.8050438412760001E-3</v>
      </c>
      <c r="D78" s="3">
        <v>1.8050438412760001E-3</v>
      </c>
      <c r="E78" s="3">
        <v>16805289922.765602</v>
      </c>
      <c r="F78" s="3">
        <v>6618.9868586588491</v>
      </c>
      <c r="G78" s="3">
        <v>7.2643747266910794E-3</v>
      </c>
      <c r="H78" s="3">
        <v>7.2643747266910794E-3</v>
      </c>
      <c r="I78" s="3">
        <v>0</v>
      </c>
      <c r="K78" t="s">
        <v>76</v>
      </c>
      <c r="L78" s="3">
        <v>1.8050438412760001E-3</v>
      </c>
      <c r="M78" s="20">
        <f t="shared" si="4"/>
        <v>8.1646981531637996E-7</v>
      </c>
      <c r="N78" s="20">
        <f t="shared" si="5"/>
        <v>0.15517500008425417</v>
      </c>
      <c r="O78" s="21">
        <f>VLOOKUP(K78,A:E,5,FALSE)</f>
        <v>16805289922.765602</v>
      </c>
      <c r="P78" s="22">
        <f t="shared" si="6"/>
        <v>1.7711694217225509E-4</v>
      </c>
      <c r="Q78" s="22">
        <f t="shared" si="7"/>
        <v>0.12078171579037927</v>
      </c>
    </row>
    <row r="79" spans="1:17" x14ac:dyDescent="0.3">
      <c r="A79" t="s">
        <v>69</v>
      </c>
      <c r="B79" s="3">
        <v>0.45416582495319996</v>
      </c>
      <c r="C79" s="3">
        <v>9.1938509311844011E-2</v>
      </c>
      <c r="D79" s="3">
        <v>0.54610433426504401</v>
      </c>
      <c r="E79" s="3">
        <v>12093396439.500017</v>
      </c>
      <c r="F79" s="3">
        <v>6628.8468659403206</v>
      </c>
      <c r="G79" s="3">
        <v>2.9877423890864505</v>
      </c>
      <c r="H79" s="3">
        <v>0.50299652323780952</v>
      </c>
      <c r="I79" s="3">
        <v>2.484745865848641</v>
      </c>
      <c r="K79" t="s">
        <v>69</v>
      </c>
      <c r="L79" s="3">
        <v>0.54610433426504401</v>
      </c>
      <c r="M79" s="20">
        <f t="shared" si="4"/>
        <v>2.4701765948557822E-4</v>
      </c>
      <c r="N79" s="20">
        <f t="shared" si="5"/>
        <v>0.15542201774373973</v>
      </c>
      <c r="O79" s="21">
        <f>VLOOKUP(K79,A:E,5,FALSE)</f>
        <v>12093396439.500017</v>
      </c>
      <c r="P79" s="22">
        <f t="shared" si="6"/>
        <v>1.2745661679656317E-4</v>
      </c>
      <c r="Q79" s="22">
        <f t="shared" si="7"/>
        <v>0.12090917240717583</v>
      </c>
    </row>
    <row r="80" spans="1:17" x14ac:dyDescent="0.3">
      <c r="A80" t="s">
        <v>84</v>
      </c>
      <c r="B80" s="3">
        <v>0</v>
      </c>
      <c r="C80" s="3">
        <v>7.7829006893695998E-2</v>
      </c>
      <c r="D80" s="3">
        <v>7.7829006893695998E-2</v>
      </c>
      <c r="E80" s="3">
        <v>46015383701.362282</v>
      </c>
      <c r="F80" s="3">
        <v>6640.8381661311678</v>
      </c>
      <c r="G80" s="3">
        <v>0.11371616983871471</v>
      </c>
      <c r="H80" s="3">
        <v>0.11371616983871471</v>
      </c>
      <c r="I80" s="3">
        <v>0</v>
      </c>
      <c r="K80" t="s">
        <v>84</v>
      </c>
      <c r="L80" s="3">
        <v>7.7829006893695998E-2</v>
      </c>
      <c r="M80" s="20">
        <f t="shared" si="4"/>
        <v>3.5204150409905136E-5</v>
      </c>
      <c r="N80" s="20">
        <f t="shared" si="5"/>
        <v>0.15545722189414965</v>
      </c>
      <c r="O80" s="21">
        <f>VLOOKUP(K80,A:E,5,FALSE)</f>
        <v>46015383701.362282</v>
      </c>
      <c r="P80" s="22">
        <f t="shared" si="6"/>
        <v>4.849725349294701E-4</v>
      </c>
      <c r="Q80" s="22">
        <f t="shared" si="7"/>
        <v>0.12139414494210531</v>
      </c>
    </row>
    <row r="81" spans="1:17" x14ac:dyDescent="0.3">
      <c r="A81" t="s">
        <v>74</v>
      </c>
      <c r="B81" s="3">
        <v>3.1634456845399996</v>
      </c>
      <c r="C81" s="3">
        <v>4.8379173127408602E-2</v>
      </c>
      <c r="D81" s="3">
        <v>3.2118248576674082</v>
      </c>
      <c r="E81" s="3">
        <v>229642617310.30029</v>
      </c>
      <c r="F81" s="3">
        <v>6711.1940327252696</v>
      </c>
      <c r="G81" s="3">
        <v>0.94896330525379646</v>
      </c>
      <c r="H81" s="3">
        <v>1.429407332932019E-2</v>
      </c>
      <c r="I81" s="3">
        <v>0.93466923192447626</v>
      </c>
      <c r="K81" t="s">
        <v>74</v>
      </c>
      <c r="L81" s="3">
        <v>3.2118248576674082</v>
      </c>
      <c r="M81" s="20">
        <f t="shared" si="4"/>
        <v>1.4527946570619032E-3</v>
      </c>
      <c r="N81" s="20">
        <f t="shared" si="5"/>
        <v>0.15691001655121156</v>
      </c>
      <c r="O81" s="21">
        <f>VLOOKUP(K81,A:E,5,FALSE)</f>
        <v>229642617310.30029</v>
      </c>
      <c r="P81" s="22">
        <f t="shared" si="6"/>
        <v>2.4202854194936862E-3</v>
      </c>
      <c r="Q81" s="22">
        <f t="shared" si="7"/>
        <v>0.12381443036159899</v>
      </c>
    </row>
    <row r="82" spans="1:17" x14ac:dyDescent="0.3">
      <c r="A82" t="s">
        <v>70</v>
      </c>
      <c r="B82" s="3">
        <v>0.16421638864559995</v>
      </c>
      <c r="C82" s="3">
        <v>3.0058658577660001E-3</v>
      </c>
      <c r="D82" s="3">
        <v>0.16722225450336595</v>
      </c>
      <c r="E82" s="3">
        <v>21296271621.874783</v>
      </c>
      <c r="F82" s="3">
        <v>6730.2682882420531</v>
      </c>
      <c r="G82" s="3">
        <v>0.52501859299101128</v>
      </c>
      <c r="H82" s="3">
        <v>9.4373531085975119E-3</v>
      </c>
      <c r="I82" s="3">
        <v>0.51558123988241389</v>
      </c>
      <c r="K82" t="s">
        <v>70</v>
      </c>
      <c r="L82" s="3">
        <v>0.16722225450336595</v>
      </c>
      <c r="M82" s="20">
        <f t="shared" si="4"/>
        <v>7.56391175267169E-5</v>
      </c>
      <c r="N82" s="20">
        <f t="shared" si="5"/>
        <v>0.15698565566873829</v>
      </c>
      <c r="O82" s="21">
        <f>VLOOKUP(K82,A:E,5,FALSE)</f>
        <v>21296271621.874783</v>
      </c>
      <c r="P82" s="22">
        <f t="shared" si="6"/>
        <v>2.2444899949191095E-4</v>
      </c>
      <c r="Q82" s="22">
        <f t="shared" si="7"/>
        <v>0.1240388793610909</v>
      </c>
    </row>
    <row r="83" spans="1:17" x14ac:dyDescent="0.3">
      <c r="A83" t="s">
        <v>73</v>
      </c>
      <c r="B83" s="3">
        <v>1.1126468014437998</v>
      </c>
      <c r="C83" s="3">
        <v>2.2073681327220995E-2</v>
      </c>
      <c r="D83" s="3">
        <v>1.1347204827710209</v>
      </c>
      <c r="E83" s="3">
        <v>62030020167.739143</v>
      </c>
      <c r="F83" s="3">
        <v>6792.1318349556459</v>
      </c>
      <c r="G83" s="3">
        <v>1.236308172572977</v>
      </c>
      <c r="H83" s="3">
        <v>2.4049863413915077E-2</v>
      </c>
      <c r="I83" s="3">
        <v>1.2122583091590617</v>
      </c>
      <c r="K83" t="s">
        <v>73</v>
      </c>
      <c r="L83" s="3">
        <v>1.1347204827710209</v>
      </c>
      <c r="M83" s="20">
        <f t="shared" si="4"/>
        <v>5.1326455447688372E-4</v>
      </c>
      <c r="N83" s="20">
        <f t="shared" si="5"/>
        <v>0.15749892022321518</v>
      </c>
      <c r="O83" s="21">
        <f>VLOOKUP(K83,A:E,5,FALSE)</f>
        <v>62030020167.739143</v>
      </c>
      <c r="P83" s="22">
        <f t="shared" si="6"/>
        <v>6.5375649842911137E-4</v>
      </c>
      <c r="Q83" s="22">
        <f t="shared" si="7"/>
        <v>0.12469263585952001</v>
      </c>
    </row>
    <row r="84" spans="1:17" x14ac:dyDescent="0.3">
      <c r="A84" t="s">
        <v>71</v>
      </c>
      <c r="B84" s="3">
        <v>0</v>
      </c>
      <c r="C84" s="3">
        <v>3.7261129333718994E-2</v>
      </c>
      <c r="D84" s="3">
        <v>3.7261129333718994E-2</v>
      </c>
      <c r="E84" s="3">
        <v>25186857750.188026</v>
      </c>
      <c r="F84" s="3">
        <v>6808.0739802598055</v>
      </c>
      <c r="G84" s="3">
        <v>0.10028609829117505</v>
      </c>
      <c r="H84" s="3">
        <v>0.10028609829117505</v>
      </c>
      <c r="I84" s="3">
        <v>0</v>
      </c>
      <c r="K84" t="s">
        <v>71</v>
      </c>
      <c r="L84" s="3">
        <v>3.7261129333718994E-2</v>
      </c>
      <c r="M84" s="20">
        <f t="shared" si="4"/>
        <v>1.6854209681730124E-5</v>
      </c>
      <c r="N84" s="20">
        <f t="shared" si="5"/>
        <v>0.15751577443289691</v>
      </c>
      <c r="O84" s="21">
        <f>VLOOKUP(K84,A:E,5,FALSE)</f>
        <v>25186857750.188026</v>
      </c>
      <c r="P84" s="22">
        <f t="shared" si="6"/>
        <v>2.654532738288355E-4</v>
      </c>
      <c r="Q84" s="22">
        <f t="shared" si="7"/>
        <v>0.12495808913334884</v>
      </c>
    </row>
    <row r="85" spans="1:17" x14ac:dyDescent="0.3">
      <c r="A85" t="s">
        <v>80</v>
      </c>
      <c r="B85" s="3">
        <v>6.2710379713399989E-2</v>
      </c>
      <c r="C85" s="3">
        <v>0.16582408904355894</v>
      </c>
      <c r="D85" s="3">
        <v>0.22853446875695893</v>
      </c>
      <c r="E85" s="3">
        <v>362990610076.17419</v>
      </c>
      <c r="F85" s="3">
        <v>6863.5956319434217</v>
      </c>
      <c r="G85" s="3">
        <v>4.3679173722504988E-2</v>
      </c>
      <c r="H85" s="3">
        <v>3.1693508782749839E-2</v>
      </c>
      <c r="I85" s="3">
        <v>1.1985664939755145E-2</v>
      </c>
      <c r="K85" t="s">
        <v>80</v>
      </c>
      <c r="L85" s="3">
        <v>0.22853446875695893</v>
      </c>
      <c r="M85" s="20">
        <f t="shared" si="4"/>
        <v>1.0337227896222079E-4</v>
      </c>
      <c r="N85" s="20">
        <f t="shared" si="5"/>
        <v>0.15761914671185914</v>
      </c>
      <c r="O85" s="21">
        <f>VLOOKUP(K85,A:E,5,FALSE)</f>
        <v>362990610076.17419</v>
      </c>
      <c r="P85" s="22">
        <f t="shared" si="6"/>
        <v>3.8256874584971759E-3</v>
      </c>
      <c r="Q85" s="22">
        <f t="shared" si="7"/>
        <v>0.12878377659184601</v>
      </c>
    </row>
    <row r="86" spans="1:17" x14ac:dyDescent="0.3">
      <c r="A86" t="s">
        <v>75</v>
      </c>
      <c r="B86" s="3">
        <v>0.27889055785082001</v>
      </c>
      <c r="C86" s="3">
        <v>2.3883758374814004E-2</v>
      </c>
      <c r="D86" s="3">
        <v>0.302774316225634</v>
      </c>
      <c r="E86" s="3">
        <v>17489977781.886208</v>
      </c>
      <c r="F86" s="3">
        <v>6937.3318099026701</v>
      </c>
      <c r="G86" s="3">
        <v>1.220744072863936</v>
      </c>
      <c r="H86" s="3">
        <v>9.6296003033628966E-2</v>
      </c>
      <c r="I86" s="3">
        <v>1.124448069830307</v>
      </c>
      <c r="K86" t="s">
        <v>75</v>
      </c>
      <c r="L86" s="3">
        <v>0.302774316225634</v>
      </c>
      <c r="M86" s="20">
        <f t="shared" si="4"/>
        <v>1.3695295615453565E-4</v>
      </c>
      <c r="N86" s="20">
        <f t="shared" si="5"/>
        <v>0.15775609966801368</v>
      </c>
      <c r="O86" s="21">
        <f>VLOOKUP(K86,A:E,5,FALSE)</f>
        <v>17489977781.886208</v>
      </c>
      <c r="P86" s="22">
        <f t="shared" si="6"/>
        <v>1.8433311163480205E-4</v>
      </c>
      <c r="Q86" s="22">
        <f t="shared" si="7"/>
        <v>0.1289681097034808</v>
      </c>
    </row>
    <row r="87" spans="1:17" x14ac:dyDescent="0.3">
      <c r="A87" t="s">
        <v>91</v>
      </c>
      <c r="B87" s="3">
        <v>1.5164068986000001E-2</v>
      </c>
      <c r="C87" s="3">
        <v>2.2873672544E-3</v>
      </c>
      <c r="D87" s="3">
        <v>1.7451436240400003E-2</v>
      </c>
      <c r="E87" s="3">
        <v>4597250505.9212961</v>
      </c>
      <c r="F87" s="3">
        <v>7246.2576795921004</v>
      </c>
      <c r="G87" s="3">
        <v>0.27749761070209866</v>
      </c>
      <c r="H87" s="3">
        <v>3.6371731194524921E-2</v>
      </c>
      <c r="I87" s="3">
        <v>0.24112587950757372</v>
      </c>
      <c r="K87" t="s">
        <v>91</v>
      </c>
      <c r="L87" s="3">
        <v>1.7451436240400003E-2</v>
      </c>
      <c r="M87" s="20">
        <f t="shared" si="4"/>
        <v>7.8937533806007399E-6</v>
      </c>
      <c r="N87" s="20">
        <f t="shared" si="5"/>
        <v>0.15776399342139427</v>
      </c>
      <c r="O87" s="21">
        <f>VLOOKUP(K87,A:E,5,FALSE)</f>
        <v>4597250505.9212961</v>
      </c>
      <c r="P87" s="22">
        <f t="shared" si="6"/>
        <v>4.8452062163211613E-5</v>
      </c>
      <c r="Q87" s="22">
        <f t="shared" si="7"/>
        <v>0.12901656176564402</v>
      </c>
    </row>
    <row r="88" spans="1:17" x14ac:dyDescent="0.3">
      <c r="A88" t="s">
        <v>159</v>
      </c>
      <c r="B88" s="3">
        <v>0.34360405280240003</v>
      </c>
      <c r="C88" s="3">
        <v>2.4824876031018E-2</v>
      </c>
      <c r="D88" s="3">
        <v>0.36842892883341805</v>
      </c>
      <c r="E88" s="3">
        <v>81046145427.256119</v>
      </c>
      <c r="F88" s="3">
        <v>7381.3977404886891</v>
      </c>
      <c r="G88" s="3">
        <v>0.33432961497981983</v>
      </c>
      <c r="H88" s="3">
        <v>2.2527251786801566E-2</v>
      </c>
      <c r="I88" s="3">
        <v>0.31180236319301824</v>
      </c>
      <c r="K88" t="s">
        <v>159</v>
      </c>
      <c r="L88" s="3">
        <v>0.36842892883341805</v>
      </c>
      <c r="M88" s="20">
        <f t="shared" si="4"/>
        <v>1.6665030100830499E-4</v>
      </c>
      <c r="N88" s="20">
        <f t="shared" si="5"/>
        <v>0.15793064372240256</v>
      </c>
      <c r="O88" s="21">
        <f>VLOOKUP(K88,A:E,5,FALSE)</f>
        <v>81046145427.256119</v>
      </c>
      <c r="P88" s="22">
        <f t="shared" si="6"/>
        <v>8.5417422245585351E-4</v>
      </c>
      <c r="Q88" s="22">
        <f t="shared" si="7"/>
        <v>0.12987073598809987</v>
      </c>
    </row>
    <row r="89" spans="1:17" x14ac:dyDescent="0.3">
      <c r="A89" t="s">
        <v>87</v>
      </c>
      <c r="B89" s="3">
        <v>0</v>
      </c>
      <c r="C89" s="3">
        <v>1.9665358068261397E-2</v>
      </c>
      <c r="D89" s="3">
        <v>1.9665358068261397E-2</v>
      </c>
      <c r="E89" s="3">
        <v>56804949261.297356</v>
      </c>
      <c r="F89" s="3">
        <v>7696.0807819319025</v>
      </c>
      <c r="G89" s="3">
        <v>2.6917979703489303E-2</v>
      </c>
      <c r="H89" s="3">
        <v>2.6917979703489303E-2</v>
      </c>
      <c r="I89" s="3">
        <v>0</v>
      </c>
      <c r="K89" t="s">
        <v>87</v>
      </c>
      <c r="L89" s="3">
        <v>1.9665358068261397E-2</v>
      </c>
      <c r="M89" s="20">
        <f t="shared" si="4"/>
        <v>8.8951696922627815E-6</v>
      </c>
      <c r="N89" s="20">
        <f t="shared" si="5"/>
        <v>0.15793953889209483</v>
      </c>
      <c r="O89" s="21">
        <f>VLOOKUP(K89,A:E,5,FALSE)</f>
        <v>56804949261.297356</v>
      </c>
      <c r="P89" s="22">
        <f t="shared" si="6"/>
        <v>5.9868761322478604E-4</v>
      </c>
      <c r="Q89" s="22">
        <f t="shared" si="7"/>
        <v>0.13046942360132466</v>
      </c>
    </row>
    <row r="90" spans="1:17" x14ac:dyDescent="0.3">
      <c r="A90" t="s">
        <v>85</v>
      </c>
      <c r="B90" s="3">
        <v>0</v>
      </c>
      <c r="C90" s="3">
        <v>2.0076627013278003E-2</v>
      </c>
      <c r="D90" s="3">
        <v>2.0076627013278003E-2</v>
      </c>
      <c r="E90" s="3">
        <v>61690926131.84903</v>
      </c>
      <c r="F90" s="3">
        <v>8231.4954426365894</v>
      </c>
      <c r="G90" s="3">
        <v>2.7261587392382151E-2</v>
      </c>
      <c r="H90" s="3">
        <v>2.7261587392382151E-2</v>
      </c>
      <c r="I90" s="3">
        <v>0</v>
      </c>
      <c r="K90" t="s">
        <v>85</v>
      </c>
      <c r="L90" s="3">
        <v>2.0076627013278003E-2</v>
      </c>
      <c r="M90" s="20">
        <f t="shared" si="4"/>
        <v>9.0811976833312404E-6</v>
      </c>
      <c r="N90" s="20">
        <f t="shared" si="5"/>
        <v>0.15794862008977817</v>
      </c>
      <c r="O90" s="21">
        <f>VLOOKUP(K90,A:E,5,FALSE)</f>
        <v>61690926131.84903</v>
      </c>
      <c r="P90" s="22">
        <f t="shared" si="6"/>
        <v>6.5018266548592918E-4</v>
      </c>
      <c r="Q90" s="22">
        <f t="shared" si="7"/>
        <v>0.13111960626681057</v>
      </c>
    </row>
    <row r="91" spans="1:17" x14ac:dyDescent="0.3">
      <c r="A91" t="s">
        <v>64</v>
      </c>
      <c r="B91" s="3">
        <v>0</v>
      </c>
      <c r="C91" s="3">
        <v>9.4957288525479994E-3</v>
      </c>
      <c r="D91" s="3">
        <v>9.4957288525479994E-3</v>
      </c>
      <c r="E91" s="3">
        <v>5324908668.4805889</v>
      </c>
      <c r="F91" s="3">
        <v>8540.0082891312923</v>
      </c>
      <c r="G91" s="3">
        <v>0.15229009160035861</v>
      </c>
      <c r="H91" s="3">
        <v>0.15229009160035861</v>
      </c>
      <c r="I91" s="3">
        <v>0</v>
      </c>
      <c r="K91" t="s">
        <v>64</v>
      </c>
      <c r="L91" s="3">
        <v>9.4957288525479994E-3</v>
      </c>
      <c r="M91" s="20">
        <f t="shared" si="4"/>
        <v>4.2951732280661082E-6</v>
      </c>
      <c r="N91" s="20">
        <f t="shared" si="5"/>
        <v>0.15795291526300623</v>
      </c>
      <c r="O91" s="21">
        <f>VLOOKUP(K91,A:E,5,FALSE)</f>
        <v>5324908668.4805889</v>
      </c>
      <c r="P91" s="22">
        <f t="shared" si="6"/>
        <v>5.6121110974121629E-5</v>
      </c>
      <c r="Q91" s="22">
        <f t="shared" si="7"/>
        <v>0.13117572737778468</v>
      </c>
    </row>
    <row r="92" spans="1:17" x14ac:dyDescent="0.3">
      <c r="A92" t="s">
        <v>63</v>
      </c>
      <c r="B92" s="3">
        <v>3.0358600130599996E-2</v>
      </c>
      <c r="C92" s="3">
        <v>6.1903530828019214E-2</v>
      </c>
      <c r="D92" s="3">
        <v>9.226213095861921E-2</v>
      </c>
      <c r="E92" s="3">
        <v>56513683533.783546</v>
      </c>
      <c r="F92" s="3">
        <v>8580.2610582325888</v>
      </c>
      <c r="G92" s="3">
        <v>0.13930179938953705</v>
      </c>
      <c r="H92" s="3">
        <v>9.3464925894421472E-2</v>
      </c>
      <c r="I92" s="3">
        <v>4.583687349511556E-2</v>
      </c>
      <c r="K92" t="s">
        <v>63</v>
      </c>
      <c r="L92" s="3">
        <v>9.226213095861921E-2</v>
      </c>
      <c r="M92" s="20">
        <f t="shared" si="4"/>
        <v>4.1732640117609905E-5</v>
      </c>
      <c r="N92" s="20">
        <f t="shared" si="5"/>
        <v>0.15799464790312384</v>
      </c>
      <c r="O92" s="21">
        <f>VLOOKUP(K92,A:E,5,FALSE)</f>
        <v>56513683533.783546</v>
      </c>
      <c r="P92" s="22">
        <f t="shared" si="6"/>
        <v>5.9561785987605404E-4</v>
      </c>
      <c r="Q92" s="22">
        <f t="shared" si="7"/>
        <v>0.13177134523766074</v>
      </c>
    </row>
    <row r="93" spans="1:17" x14ac:dyDescent="0.3">
      <c r="A93" t="s">
        <v>66</v>
      </c>
      <c r="B93" s="3">
        <v>0.622976971193</v>
      </c>
      <c r="C93" s="3">
        <v>0.28105718841696498</v>
      </c>
      <c r="D93" s="3">
        <v>0.90403415960996503</v>
      </c>
      <c r="E93" s="3">
        <v>104773032846.35954</v>
      </c>
      <c r="F93" s="3">
        <v>9168.4541889714092</v>
      </c>
      <c r="G93" s="3">
        <v>0.79782280231727443</v>
      </c>
      <c r="H93" s="3">
        <v>0.24803690357340064</v>
      </c>
      <c r="I93" s="3">
        <v>0.54978589874387374</v>
      </c>
      <c r="K93" t="s">
        <v>66</v>
      </c>
      <c r="L93" s="3">
        <v>0.90403415960996503</v>
      </c>
      <c r="M93" s="20">
        <f t="shared" si="4"/>
        <v>4.0891893396598406E-4</v>
      </c>
      <c r="N93" s="20">
        <f t="shared" si="5"/>
        <v>0.15840356683708984</v>
      </c>
      <c r="O93" s="21">
        <f>VLOOKUP(K93,A:E,5,FALSE)</f>
        <v>104773032846.35954</v>
      </c>
      <c r="P93" s="22">
        <f t="shared" si="6"/>
        <v>1.1042403484346765E-3</v>
      </c>
      <c r="Q93" s="22">
        <f t="shared" si="7"/>
        <v>0.13287558558609541</v>
      </c>
    </row>
    <row r="94" spans="1:17" x14ac:dyDescent="0.3">
      <c r="A94" t="s">
        <v>67</v>
      </c>
      <c r="B94" s="3">
        <v>29.302703599576372</v>
      </c>
      <c r="C94" s="3">
        <v>5.9965363672862777</v>
      </c>
      <c r="D94" s="3">
        <v>35.29923996686265</v>
      </c>
      <c r="E94" s="3">
        <v>2028136094548.3352</v>
      </c>
      <c r="F94" s="3">
        <v>9566.7440862837084</v>
      </c>
      <c r="G94" s="3">
        <v>1.6718347110974809</v>
      </c>
      <c r="H94" s="3">
        <v>0.28400661472028343</v>
      </c>
      <c r="I94" s="3">
        <v>1.3878280963771976</v>
      </c>
      <c r="K94" t="s">
        <v>67</v>
      </c>
      <c r="L94" s="3">
        <v>35.29923996686265</v>
      </c>
      <c r="M94" s="20">
        <f t="shared" si="4"/>
        <v>1.5966794422111817E-2</v>
      </c>
      <c r="N94" s="20">
        <f t="shared" si="5"/>
        <v>0.17437036125920166</v>
      </c>
      <c r="O94" s="21">
        <f>VLOOKUP(K94,A:E,5,FALSE)</f>
        <v>2028136094548.3352</v>
      </c>
      <c r="P94" s="22">
        <f t="shared" si="6"/>
        <v>2.1375249402211166E-2</v>
      </c>
      <c r="Q94" s="22">
        <f t="shared" si="7"/>
        <v>0.15425083498830658</v>
      </c>
    </row>
    <row r="95" spans="1:17" x14ac:dyDescent="0.3">
      <c r="A95" t="s">
        <v>56</v>
      </c>
      <c r="B95" s="3">
        <v>5.7852361363444018</v>
      </c>
      <c r="C95" s="3">
        <v>0.38507667495318815</v>
      </c>
      <c r="D95" s="3">
        <v>6.17031281129759</v>
      </c>
      <c r="E95" s="3">
        <v>65231613490.824707</v>
      </c>
      <c r="F95" s="3">
        <v>10126.898007570799</v>
      </c>
      <c r="G95" s="3">
        <v>9.571427791190251</v>
      </c>
      <c r="H95" s="3">
        <v>0.59733334453281717</v>
      </c>
      <c r="I95" s="3">
        <v>8.9740944466574319</v>
      </c>
      <c r="K95" t="s">
        <v>56</v>
      </c>
      <c r="L95" s="3">
        <v>6.17031281129759</v>
      </c>
      <c r="M95" s="20">
        <f t="shared" si="4"/>
        <v>2.790998227457524E-3</v>
      </c>
      <c r="N95" s="20">
        <f t="shared" si="5"/>
        <v>0.17716135948665918</v>
      </c>
      <c r="O95" s="21">
        <f>VLOOKUP(K95,A:E,5,FALSE)</f>
        <v>65231613490.824707</v>
      </c>
      <c r="P95" s="22">
        <f t="shared" si="6"/>
        <v>6.8749923194160194E-4</v>
      </c>
      <c r="Q95" s="22">
        <f t="shared" si="7"/>
        <v>0.15493833422024819</v>
      </c>
    </row>
    <row r="96" spans="1:17" x14ac:dyDescent="0.3">
      <c r="A96" t="s">
        <v>59</v>
      </c>
      <c r="B96" s="3">
        <v>40.833498008299948</v>
      </c>
      <c r="C96" s="3">
        <v>2.0186947649389086</v>
      </c>
      <c r="D96" s="3">
        <v>42.852192773238855</v>
      </c>
      <c r="E96" s="3">
        <v>1350022500028.8057</v>
      </c>
      <c r="F96" s="3">
        <v>10316.461190221513</v>
      </c>
      <c r="G96" s="3">
        <v>3.3029345131771715</v>
      </c>
      <c r="H96" s="3">
        <v>0.15559569252313077</v>
      </c>
      <c r="I96" s="3">
        <v>3.1473388206540407</v>
      </c>
      <c r="K96" t="s">
        <v>59</v>
      </c>
      <c r="L96" s="3">
        <v>42.852192773238855</v>
      </c>
      <c r="M96" s="20">
        <f t="shared" si="4"/>
        <v>1.938319785891476E-2</v>
      </c>
      <c r="N96" s="20">
        <f t="shared" si="5"/>
        <v>0.19654455734557394</v>
      </c>
      <c r="O96" s="21">
        <f>VLOOKUP(K96,A:E,5,FALSE)</f>
        <v>1350022500028.8057</v>
      </c>
      <c r="P96" s="22">
        <f t="shared" si="6"/>
        <v>1.4228368458251222E-2</v>
      </c>
      <c r="Q96" s="22">
        <f t="shared" si="7"/>
        <v>0.16916670267849943</v>
      </c>
    </row>
    <row r="97" spans="1:17" x14ac:dyDescent="0.3">
      <c r="A97" t="s">
        <v>58</v>
      </c>
      <c r="B97" s="3">
        <v>5.3776176307800005</v>
      </c>
      <c r="C97" s="3">
        <v>0.45526025400691272</v>
      </c>
      <c r="D97" s="3">
        <v>5.8328778847869129</v>
      </c>
      <c r="E97" s="3">
        <v>1612344875264.3628</v>
      </c>
      <c r="F97" s="3">
        <v>11043.259765625</v>
      </c>
      <c r="G97" s="3">
        <v>0.40555063845400785</v>
      </c>
      <c r="H97" s="3">
        <v>3.1653514838153034E-2</v>
      </c>
      <c r="I97" s="3">
        <v>0.37389712361585481</v>
      </c>
      <c r="K97" t="s">
        <v>58</v>
      </c>
      <c r="L97" s="3">
        <v>5.8328778847869129</v>
      </c>
      <c r="M97" s="20">
        <f t="shared" si="4"/>
        <v>2.6383673462404165E-3</v>
      </c>
      <c r="N97" s="20">
        <f t="shared" si="5"/>
        <v>0.19918292469181437</v>
      </c>
      <c r="O97" s="21">
        <f>VLOOKUP(K97,A:E,5,FALSE)</f>
        <v>1612344875264.3628</v>
      </c>
      <c r="P97" s="22">
        <f t="shared" si="6"/>
        <v>1.6993077498000934E-2</v>
      </c>
      <c r="Q97" s="22">
        <f t="shared" si="7"/>
        <v>0.18615978017650037</v>
      </c>
    </row>
    <row r="98" spans="1:17" x14ac:dyDescent="0.3">
      <c r="A98" t="s">
        <v>62</v>
      </c>
      <c r="B98" s="3">
        <v>3.2444414458879991</v>
      </c>
      <c r="C98" s="3">
        <v>6.9572222560496805E-2</v>
      </c>
      <c r="D98" s="3">
        <v>3.3140136684484958</v>
      </c>
      <c r="E98" s="3">
        <v>244491152895.88773</v>
      </c>
      <c r="F98" s="3">
        <v>11872.784262629844</v>
      </c>
      <c r="G98" s="3">
        <v>1.6301016799759096</v>
      </c>
      <c r="H98" s="3">
        <v>3.4221282173714805E-2</v>
      </c>
      <c r="I98" s="3">
        <v>1.5958803978021949</v>
      </c>
      <c r="K98" t="s">
        <v>62</v>
      </c>
      <c r="L98" s="3">
        <v>3.3140136684484958</v>
      </c>
      <c r="M98" s="20">
        <f t="shared" si="4"/>
        <v>1.4990174011071974E-3</v>
      </c>
      <c r="N98" s="20">
        <f t="shared" si="5"/>
        <v>0.20068194209292156</v>
      </c>
      <c r="O98" s="21">
        <f>VLOOKUP(K98,A:E,5,FALSE)</f>
        <v>244491152895.88773</v>
      </c>
      <c r="P98" s="22">
        <f t="shared" si="6"/>
        <v>2.5767794300547583E-3</v>
      </c>
      <c r="Q98" s="22">
        <f t="shared" si="7"/>
        <v>0.18873655960655514</v>
      </c>
    </row>
    <row r="99" spans="1:17" x14ac:dyDescent="0.3">
      <c r="A99" t="s">
        <v>65</v>
      </c>
      <c r="B99" s="3">
        <v>3.076634483236</v>
      </c>
      <c r="C99" s="3">
        <v>0.97616590372703627</v>
      </c>
      <c r="D99" s="3">
        <v>4.0528003869630362</v>
      </c>
      <c r="E99" s="3">
        <v>422559964245.24005</v>
      </c>
      <c r="F99" s="3">
        <v>11883.791277489954</v>
      </c>
      <c r="G99" s="3">
        <v>1.153779537759156</v>
      </c>
      <c r="H99" s="3">
        <v>0.2779017315536742</v>
      </c>
      <c r="I99" s="3">
        <v>0.87587780620548172</v>
      </c>
      <c r="K99" t="s">
        <v>65</v>
      </c>
      <c r="L99" s="3">
        <v>4.0528003869630362</v>
      </c>
      <c r="M99" s="20">
        <f t="shared" si="4"/>
        <v>1.8331904786970227E-3</v>
      </c>
      <c r="N99" s="20">
        <f t="shared" si="5"/>
        <v>0.20251513257161857</v>
      </c>
      <c r="O99" s="21">
        <f>VLOOKUP(K99,A:E,5,FALSE)</f>
        <v>422559964245.24005</v>
      </c>
      <c r="P99" s="22">
        <f t="shared" si="6"/>
        <v>4.4535101206523977E-3</v>
      </c>
      <c r="Q99" s="22">
        <f t="shared" si="7"/>
        <v>0.19319006972720754</v>
      </c>
    </row>
    <row r="100" spans="1:17" x14ac:dyDescent="0.3">
      <c r="A100" t="s">
        <v>53</v>
      </c>
      <c r="B100" s="3">
        <v>7.0980860752575605</v>
      </c>
      <c r="C100" s="3">
        <v>0.30742993733125307</v>
      </c>
      <c r="D100" s="3">
        <v>7.405516012588814</v>
      </c>
      <c r="E100" s="3">
        <v>237383786157.71899</v>
      </c>
      <c r="F100" s="3">
        <v>12459.911206189136</v>
      </c>
      <c r="G100" s="3">
        <v>3.8851539397903503</v>
      </c>
      <c r="H100" s="3">
        <v>0.16128688807121716</v>
      </c>
      <c r="I100" s="3">
        <v>3.7238670517191332</v>
      </c>
      <c r="K100" t="s">
        <v>53</v>
      </c>
      <c r="L100" s="3">
        <v>7.405516012588814</v>
      </c>
      <c r="M100" s="20">
        <f t="shared" si="4"/>
        <v>3.349713814622169E-3</v>
      </c>
      <c r="N100" s="20">
        <f t="shared" si="5"/>
        <v>0.20586484638624075</v>
      </c>
      <c r="O100" s="21">
        <f>VLOOKUP(K100,A:E,5,FALSE)</f>
        <v>237383786157.71899</v>
      </c>
      <c r="P100" s="22">
        <f t="shared" si="6"/>
        <v>2.5018723579752736E-3</v>
      </c>
      <c r="Q100" s="22">
        <f t="shared" si="7"/>
        <v>0.19569194208518281</v>
      </c>
    </row>
    <row r="101" spans="1:17" x14ac:dyDescent="0.3">
      <c r="A101" t="s">
        <v>57</v>
      </c>
      <c r="B101" s="3">
        <v>6.6270278067345991</v>
      </c>
      <c r="C101" s="3">
        <v>0.25510054377489089</v>
      </c>
      <c r="D101" s="3">
        <v>6.8821283505094897</v>
      </c>
      <c r="E101" s="3">
        <v>583738758865.70459</v>
      </c>
      <c r="F101" s="3">
        <v>12774.350659662765</v>
      </c>
      <c r="G101" s="3">
        <v>1.5112801941617338</v>
      </c>
      <c r="H101" s="3">
        <v>5.6018774962013025E-2</v>
      </c>
      <c r="I101" s="3">
        <v>1.4552614191997211</v>
      </c>
      <c r="K101" t="s">
        <v>57</v>
      </c>
      <c r="L101" s="3">
        <v>6.8821283505094897</v>
      </c>
      <c r="M101" s="20">
        <f t="shared" si="4"/>
        <v>3.1129715161665847E-3</v>
      </c>
      <c r="N101" s="20">
        <f t="shared" si="5"/>
        <v>0.20897781790240733</v>
      </c>
      <c r="O101" s="21">
        <f>VLOOKUP(K101,A:E,5,FALSE)</f>
        <v>583738758865.70459</v>
      </c>
      <c r="P101" s="22">
        <f t="shared" si="6"/>
        <v>6.1522309030599773E-3</v>
      </c>
      <c r="Q101" s="22">
        <f t="shared" si="7"/>
        <v>0.20184417298824278</v>
      </c>
    </row>
    <row r="102" spans="1:17" x14ac:dyDescent="0.3">
      <c r="A102" t="s">
        <v>61</v>
      </c>
      <c r="B102" s="3">
        <v>805.24526903626031</v>
      </c>
      <c r="C102" s="3">
        <v>64.118677189685599</v>
      </c>
      <c r="D102" s="3">
        <v>869.36394622594594</v>
      </c>
      <c r="E102" s="3">
        <v>18488114837769.328</v>
      </c>
      <c r="F102" s="3">
        <v>13121.676990556489</v>
      </c>
      <c r="G102" s="3">
        <v>6.1625985937999017</v>
      </c>
      <c r="H102" s="3">
        <v>0.45451352290467634</v>
      </c>
      <c r="I102" s="3">
        <v>5.7080850708952253</v>
      </c>
      <c r="K102" t="s">
        <v>61</v>
      </c>
      <c r="L102" s="3">
        <v>869.36394622594594</v>
      </c>
      <c r="M102" s="20">
        <f t="shared" si="4"/>
        <v>0.39323666516379313</v>
      </c>
      <c r="N102" s="20">
        <f t="shared" si="5"/>
        <v>0.6022144830662004</v>
      </c>
      <c r="O102" s="21">
        <f>VLOOKUP(K102,A:E,5,FALSE)</f>
        <v>18488114837769.328</v>
      </c>
      <c r="P102" s="22">
        <f t="shared" si="6"/>
        <v>0.1948528339376793</v>
      </c>
      <c r="Q102" s="22">
        <f t="shared" si="7"/>
        <v>0.39669700692592208</v>
      </c>
    </row>
    <row r="103" spans="1:17" x14ac:dyDescent="0.3">
      <c r="A103" t="s">
        <v>54</v>
      </c>
      <c r="B103" s="3">
        <v>35.121875721631589</v>
      </c>
      <c r="C103" s="3">
        <v>0.11970038165661401</v>
      </c>
      <c r="D103" s="3">
        <v>35.241576103288203</v>
      </c>
      <c r="E103" s="3">
        <v>288158504434.81396</v>
      </c>
      <c r="F103" s="3">
        <v>14579.40010713071</v>
      </c>
      <c r="G103" s="3">
        <v>17.926584206687835</v>
      </c>
      <c r="H103" s="3">
        <v>6.0888848020044933E-2</v>
      </c>
      <c r="I103" s="3">
        <v>17.865695358667789</v>
      </c>
      <c r="K103" t="s">
        <v>54</v>
      </c>
      <c r="L103" s="3">
        <v>35.241576103288203</v>
      </c>
      <c r="M103" s="20">
        <f t="shared" si="4"/>
        <v>1.59407115076881E-2</v>
      </c>
      <c r="N103" s="20">
        <f t="shared" si="5"/>
        <v>0.61815519457388846</v>
      </c>
      <c r="O103" s="21">
        <f>VLOOKUP(K103,A:E,5,FALSE)</f>
        <v>288158504434.81396</v>
      </c>
      <c r="P103" s="22">
        <f t="shared" si="6"/>
        <v>3.0370052168683624E-3</v>
      </c>
      <c r="Q103" s="22">
        <f t="shared" si="7"/>
        <v>0.39973401214279042</v>
      </c>
    </row>
    <row r="104" spans="1:17" x14ac:dyDescent="0.3">
      <c r="A104" t="s">
        <v>55</v>
      </c>
      <c r="B104" s="3">
        <v>0.39462424003199997</v>
      </c>
      <c r="C104" s="3">
        <v>7.731783078412599E-2</v>
      </c>
      <c r="D104" s="3">
        <v>0.47194207081612594</v>
      </c>
      <c r="E104" s="3">
        <v>76264229553.430679</v>
      </c>
      <c r="F104" s="3">
        <v>14866.58236761087</v>
      </c>
      <c r="G104" s="3">
        <v>0.92437520297349618</v>
      </c>
      <c r="H104" s="3">
        <v>0.1514395302816576</v>
      </c>
      <c r="I104" s="3">
        <v>0.7729356726918386</v>
      </c>
      <c r="K104" t="s">
        <v>55</v>
      </c>
      <c r="L104" s="3">
        <v>0.47194207081612594</v>
      </c>
      <c r="M104" s="20">
        <f t="shared" si="4"/>
        <v>2.1347207562941067E-4</v>
      </c>
      <c r="N104" s="20">
        <f t="shared" si="5"/>
        <v>0.61836866664951784</v>
      </c>
      <c r="O104" s="21">
        <f>VLOOKUP(K104,A:E,5,FALSE)</f>
        <v>76264229553.430679</v>
      </c>
      <c r="P104" s="22">
        <f t="shared" si="6"/>
        <v>8.0377590614060912E-4</v>
      </c>
      <c r="Q104" s="22">
        <f t="shared" si="7"/>
        <v>0.40053778804893103</v>
      </c>
    </row>
    <row r="105" spans="1:17" x14ac:dyDescent="0.3">
      <c r="A105" t="s">
        <v>60</v>
      </c>
      <c r="B105" s="3">
        <v>31.11074659985012</v>
      </c>
      <c r="C105" s="3">
        <v>2.949632521503192</v>
      </c>
      <c r="D105" s="3">
        <v>34.060379121353314</v>
      </c>
      <c r="E105" s="3">
        <v>1316562171166.7805</v>
      </c>
      <c r="F105" s="3">
        <v>15395.027889489296</v>
      </c>
      <c r="G105" s="3">
        <v>3.9917953604571967</v>
      </c>
      <c r="H105" s="3">
        <v>0.34568991062722726</v>
      </c>
      <c r="I105" s="3">
        <v>3.6461054498299692</v>
      </c>
      <c r="K105" t="s">
        <v>60</v>
      </c>
      <c r="L105" s="3">
        <v>34.060379121353314</v>
      </c>
      <c r="M105" s="20">
        <f t="shared" si="4"/>
        <v>1.5406424384218072E-2</v>
      </c>
      <c r="N105" s="20">
        <f t="shared" si="5"/>
        <v>0.63377509103373586</v>
      </c>
      <c r="O105" s="21">
        <f>VLOOKUP(K105,A:E,5,FALSE)</f>
        <v>1316562171166.7805</v>
      </c>
      <c r="P105" s="22">
        <f t="shared" si="6"/>
        <v>1.3875718122591637E-2</v>
      </c>
      <c r="Q105" s="22">
        <f t="shared" si="7"/>
        <v>0.41441350617152267</v>
      </c>
    </row>
    <row r="106" spans="1:17" x14ac:dyDescent="0.3">
      <c r="A106" t="s">
        <v>46</v>
      </c>
      <c r="B106" s="3">
        <v>0</v>
      </c>
      <c r="C106" s="3">
        <v>1.5238666601853999E-2</v>
      </c>
      <c r="D106" s="3">
        <v>1.5238666601853999E-2</v>
      </c>
      <c r="E106" s="3">
        <v>30557357896.857292</v>
      </c>
      <c r="F106" s="3">
        <v>16374.773539623997</v>
      </c>
      <c r="G106" s="3">
        <v>8.089709457323048E-2</v>
      </c>
      <c r="H106" s="3">
        <v>8.089709457323048E-2</v>
      </c>
      <c r="I106" s="3">
        <v>0</v>
      </c>
      <c r="K106" t="s">
        <v>46</v>
      </c>
      <c r="L106" s="3">
        <v>1.5238666601853999E-2</v>
      </c>
      <c r="M106" s="20">
        <f t="shared" si="4"/>
        <v>6.8928582351154056E-6</v>
      </c>
      <c r="N106" s="20">
        <f t="shared" si="5"/>
        <v>0.63378198389197093</v>
      </c>
      <c r="O106" s="21">
        <f>VLOOKUP(K106,A:E,5,FALSE)</f>
        <v>30557357896.857292</v>
      </c>
      <c r="P106" s="22">
        <f t="shared" si="6"/>
        <v>3.220548896465512E-4</v>
      </c>
      <c r="Q106" s="22">
        <f t="shared" si="7"/>
        <v>0.41473556106116921</v>
      </c>
    </row>
    <row r="107" spans="1:17" x14ac:dyDescent="0.3">
      <c r="A107" t="s">
        <v>47</v>
      </c>
      <c r="B107" s="3">
        <v>6.4105906871701004</v>
      </c>
      <c r="C107" s="3">
        <v>0.50098094440299623</v>
      </c>
      <c r="D107" s="3">
        <v>6.9115716315730964</v>
      </c>
      <c r="E107" s="3">
        <v>157952280644.58694</v>
      </c>
      <c r="F107" s="3">
        <v>16518.636993639651</v>
      </c>
      <c r="G107" s="3">
        <v>7.2054186934793556</v>
      </c>
      <c r="H107" s="3">
        <v>0.52228026479365208</v>
      </c>
      <c r="I107" s="3">
        <v>6.6831384286857043</v>
      </c>
      <c r="K107" t="s">
        <v>47</v>
      </c>
      <c r="L107" s="3">
        <v>6.9115716315730964</v>
      </c>
      <c r="M107" s="20">
        <f t="shared" si="4"/>
        <v>3.1262895030778151E-3</v>
      </c>
      <c r="N107" s="20">
        <f t="shared" si="5"/>
        <v>0.63690827339504874</v>
      </c>
      <c r="O107" s="21">
        <f>VLOOKUP(K107,A:E,5,FALSE)</f>
        <v>157952280644.58694</v>
      </c>
      <c r="P107" s="22">
        <f t="shared" si="6"/>
        <v>1.6647154012502255E-3</v>
      </c>
      <c r="Q107" s="22">
        <f t="shared" si="7"/>
        <v>0.41640027646241945</v>
      </c>
    </row>
    <row r="108" spans="1:17" x14ac:dyDescent="0.3">
      <c r="A108" t="s">
        <v>52</v>
      </c>
      <c r="B108" s="3">
        <v>1.01615406981</v>
      </c>
      <c r="C108" s="3">
        <v>6.6944247144875998E-2</v>
      </c>
      <c r="D108" s="3">
        <v>1.083098316954876</v>
      </c>
      <c r="E108" s="3">
        <v>77318963569.703064</v>
      </c>
      <c r="F108" s="3">
        <v>17122.720655566955</v>
      </c>
      <c r="G108" s="3">
        <v>2.4291474756874636</v>
      </c>
      <c r="H108" s="3">
        <v>0.15014098574261583</v>
      </c>
      <c r="I108" s="3">
        <v>2.2790064899448477</v>
      </c>
      <c r="K108" t="s">
        <v>52</v>
      </c>
      <c r="L108" s="3">
        <v>1.083098316954876</v>
      </c>
      <c r="M108" s="20">
        <f t="shared" si="4"/>
        <v>4.8991446223738187E-4</v>
      </c>
      <c r="N108" s="20">
        <f t="shared" si="5"/>
        <v>0.63739818785728608</v>
      </c>
      <c r="O108" s="21">
        <f>VLOOKUP(K108,A:E,5,FALSE)</f>
        <v>77318963569.703064</v>
      </c>
      <c r="P108" s="22">
        <f t="shared" si="6"/>
        <v>8.1489212398783346E-4</v>
      </c>
      <c r="Q108" s="22">
        <f t="shared" si="7"/>
        <v>0.41721516858640728</v>
      </c>
    </row>
    <row r="109" spans="1:17" x14ac:dyDescent="0.3">
      <c r="A109" t="s">
        <v>50</v>
      </c>
      <c r="B109" s="3">
        <v>3.7033804741999993E-2</v>
      </c>
      <c r="C109" s="3">
        <v>0</v>
      </c>
      <c r="D109" s="3">
        <v>3.7033804741999993E-2</v>
      </c>
      <c r="E109" s="3">
        <v>91620377320.782944</v>
      </c>
      <c r="F109" s="3">
        <v>17347.291133905113</v>
      </c>
      <c r="G109" s="3">
        <v>7.3344883669299449E-2</v>
      </c>
      <c r="H109" s="3">
        <v>0</v>
      </c>
      <c r="I109" s="3">
        <v>7.3344883669299449E-2</v>
      </c>
      <c r="K109" t="s">
        <v>50</v>
      </c>
      <c r="L109" s="3">
        <v>3.7033804741999993E-2</v>
      </c>
      <c r="M109" s="20">
        <f t="shared" si="4"/>
        <v>1.67513846626511E-5</v>
      </c>
      <c r="N109" s="20">
        <f t="shared" si="5"/>
        <v>0.6374149392419487</v>
      </c>
      <c r="O109" s="21">
        <f>VLOOKUP(K109,A:E,5,FALSE)</f>
        <v>91620377320.782944</v>
      </c>
      <c r="P109" s="22">
        <f t="shared" si="6"/>
        <v>9.6561982246687621E-4</v>
      </c>
      <c r="Q109" s="22">
        <f t="shared" si="7"/>
        <v>0.41818078840887418</v>
      </c>
    </row>
    <row r="110" spans="1:17" x14ac:dyDescent="0.3">
      <c r="A110" t="s">
        <v>48</v>
      </c>
      <c r="B110" s="3">
        <v>3.5865064062199997E-2</v>
      </c>
      <c r="C110" s="3">
        <v>0.116875486804464</v>
      </c>
      <c r="D110" s="3">
        <v>0.15274055086666399</v>
      </c>
      <c r="E110" s="3">
        <v>69027943227.324402</v>
      </c>
      <c r="F110" s="3">
        <v>17854.209101268534</v>
      </c>
      <c r="G110" s="3">
        <v>0.39573310074100326</v>
      </c>
      <c r="H110" s="3">
        <v>0.3028108680459084</v>
      </c>
      <c r="I110" s="3">
        <v>9.2922232695094878E-2</v>
      </c>
      <c r="K110" t="s">
        <v>48</v>
      </c>
      <c r="L110" s="3">
        <v>0.15274055086666399</v>
      </c>
      <c r="M110" s="20">
        <f t="shared" si="4"/>
        <v>6.9088653973783912E-5</v>
      </c>
      <c r="N110" s="20">
        <f t="shared" si="5"/>
        <v>0.63748402789592251</v>
      </c>
      <c r="O110" s="21">
        <f>VLOOKUP(K110,A:E,5,FALSE)</f>
        <v>69027943227.324402</v>
      </c>
      <c r="P110" s="22">
        <f t="shared" si="6"/>
        <v>7.2751010455948857E-4</v>
      </c>
      <c r="Q110" s="22">
        <f t="shared" si="7"/>
        <v>0.4189082985134337</v>
      </c>
    </row>
    <row r="111" spans="1:17" x14ac:dyDescent="0.3">
      <c r="A111" t="s">
        <v>49</v>
      </c>
      <c r="B111" s="3">
        <v>2.1414022306080605</v>
      </c>
      <c r="C111" s="3">
        <v>0.59282964176446129</v>
      </c>
      <c r="D111" s="3">
        <v>2.7342318723725216</v>
      </c>
      <c r="E111" s="3">
        <v>658084600079.5863</v>
      </c>
      <c r="F111" s="3">
        <v>18000.50345912854</v>
      </c>
      <c r="G111" s="3">
        <v>0.74527913539374768</v>
      </c>
      <c r="H111" s="3">
        <v>0.16158964691850655</v>
      </c>
      <c r="I111" s="3">
        <v>0.58368948847524116</v>
      </c>
      <c r="K111" t="s">
        <v>49</v>
      </c>
      <c r="L111" s="3">
        <v>2.7342318723725216</v>
      </c>
      <c r="M111" s="20">
        <f t="shared" si="4"/>
        <v>1.2367665210225799E-3</v>
      </c>
      <c r="N111" s="20">
        <f t="shared" si="5"/>
        <v>0.63872079441694507</v>
      </c>
      <c r="O111" s="21">
        <f>VLOOKUP(K111,A:E,5,FALSE)</f>
        <v>658084600079.5863</v>
      </c>
      <c r="P111" s="22">
        <f t="shared" si="6"/>
        <v>6.9357882305172433E-3</v>
      </c>
      <c r="Q111" s="22">
        <f t="shared" si="7"/>
        <v>0.42584408674395097</v>
      </c>
    </row>
    <row r="112" spans="1:17" x14ac:dyDescent="0.3">
      <c r="A112" t="s">
        <v>45</v>
      </c>
      <c r="B112" s="3">
        <v>0.56076247444000005</v>
      </c>
      <c r="C112" s="3">
        <v>3.7274166400174003E-2</v>
      </c>
      <c r="D112" s="3">
        <v>0.59803664084017405</v>
      </c>
      <c r="E112" s="3">
        <v>64204978531.949135</v>
      </c>
      <c r="F112" s="3">
        <v>18958.603329353653</v>
      </c>
      <c r="G112" s="3">
        <v>1.7651190772598828</v>
      </c>
      <c r="H112" s="3">
        <v>0.11001557046650894</v>
      </c>
      <c r="I112" s="3">
        <v>1.6551035067933737</v>
      </c>
      <c r="K112" t="s">
        <v>45</v>
      </c>
      <c r="L112" s="3">
        <v>0.59803664084017405</v>
      </c>
      <c r="M112" s="20">
        <f t="shared" si="4"/>
        <v>2.7050803672116732E-4</v>
      </c>
      <c r="N112" s="20">
        <f t="shared" si="5"/>
        <v>0.6389913024536662</v>
      </c>
      <c r="O112" s="21">
        <f>VLOOKUP(K112,A:E,5,FALSE)</f>
        <v>64204978531.949135</v>
      </c>
      <c r="P112" s="22">
        <f t="shared" si="6"/>
        <v>6.7667916007858365E-4</v>
      </c>
      <c r="Q112" s="22">
        <f t="shared" si="7"/>
        <v>0.42652076590402954</v>
      </c>
    </row>
    <row r="113" spans="1:17" x14ac:dyDescent="0.3">
      <c r="A113" t="s">
        <v>41</v>
      </c>
      <c r="B113" s="3">
        <v>0.11171723311899999</v>
      </c>
      <c r="C113" s="3">
        <v>0.12404806508325363</v>
      </c>
      <c r="D113" s="3">
        <v>0.23576529820225361</v>
      </c>
      <c r="E113" s="3">
        <v>55144866855.247284</v>
      </c>
      <c r="F113" s="3">
        <v>19092.645117695487</v>
      </c>
      <c r="G113" s="3">
        <v>0.82102845014949455</v>
      </c>
      <c r="H113" s="3">
        <v>0.43198465336479197</v>
      </c>
      <c r="I113" s="3">
        <v>0.38904379678470247</v>
      </c>
      <c r="K113" t="s">
        <v>41</v>
      </c>
      <c r="L113" s="3">
        <v>0.23576529820225361</v>
      </c>
      <c r="M113" s="20">
        <f t="shared" si="4"/>
        <v>1.0664297735013949E-4</v>
      </c>
      <c r="N113" s="20">
        <f t="shared" si="5"/>
        <v>0.63909794543101639</v>
      </c>
      <c r="O113" s="21">
        <f>VLOOKUP(K113,A:E,5,FALSE)</f>
        <v>55144866855.247284</v>
      </c>
      <c r="P113" s="22">
        <f t="shared" si="6"/>
        <v>5.8119141286972777E-4</v>
      </c>
      <c r="Q113" s="22">
        <f t="shared" si="7"/>
        <v>0.42710195731689926</v>
      </c>
    </row>
    <row r="114" spans="1:17" x14ac:dyDescent="0.3">
      <c r="A114" t="s">
        <v>43</v>
      </c>
      <c r="B114" s="3">
        <v>2.2120592839231987</v>
      </c>
      <c r="C114" s="3">
        <v>0.12932268372989236</v>
      </c>
      <c r="D114" s="3">
        <v>2.3413819676530911</v>
      </c>
      <c r="E114" s="3">
        <v>107227789781.41272</v>
      </c>
      <c r="F114" s="3">
        <v>19776.175806949843</v>
      </c>
      <c r="G114" s="3">
        <v>4.3145276310512228</v>
      </c>
      <c r="H114" s="3">
        <v>0.23830639339620538</v>
      </c>
      <c r="I114" s="3">
        <v>4.0762212376550169</v>
      </c>
      <c r="K114" t="s">
        <v>43</v>
      </c>
      <c r="L114" s="3">
        <v>2.3413819676530911</v>
      </c>
      <c r="M114" s="20">
        <f t="shared" si="4"/>
        <v>1.0590699566407475E-3</v>
      </c>
      <c r="N114" s="20">
        <f t="shared" si="5"/>
        <v>0.64015701538765712</v>
      </c>
      <c r="O114" s="21">
        <f>VLOOKUP(K114,A:E,5,FALSE)</f>
        <v>107227789781.41272</v>
      </c>
      <c r="P114" s="22">
        <f t="shared" si="6"/>
        <v>1.130111906980285E-3</v>
      </c>
      <c r="Q114" s="22">
        <f t="shared" si="7"/>
        <v>0.42823206922387952</v>
      </c>
    </row>
    <row r="115" spans="1:17" x14ac:dyDescent="0.3">
      <c r="A115" t="s">
        <v>40</v>
      </c>
      <c r="B115" s="3">
        <v>0.12084982996599999</v>
      </c>
      <c r="C115" s="3">
        <v>1.7522790798800002E-2</v>
      </c>
      <c r="D115" s="3">
        <v>0.1383726207648</v>
      </c>
      <c r="E115" s="3">
        <v>27554054399.259132</v>
      </c>
      <c r="F115" s="3">
        <v>20078.139762099312</v>
      </c>
      <c r="G115" s="3">
        <v>1.0098083229690735</v>
      </c>
      <c r="H115" s="3">
        <v>0.12787688700607028</v>
      </c>
      <c r="I115" s="3">
        <v>0.88193143596300327</v>
      </c>
      <c r="K115" t="s">
        <v>40</v>
      </c>
      <c r="L115" s="3">
        <v>0.1383726207648</v>
      </c>
      <c r="M115" s="20">
        <f t="shared" si="4"/>
        <v>6.2589653246768426E-5</v>
      </c>
      <c r="N115" s="20">
        <f t="shared" si="5"/>
        <v>0.64021960504090392</v>
      </c>
      <c r="O115" s="21">
        <f>VLOOKUP(K115,A:E,5,FALSE)</f>
        <v>27554054399.259132</v>
      </c>
      <c r="P115" s="22">
        <f t="shared" si="6"/>
        <v>2.9040200330216105E-4</v>
      </c>
      <c r="Q115" s="22">
        <f t="shared" si="7"/>
        <v>0.42852247122718168</v>
      </c>
    </row>
    <row r="116" spans="1:17" x14ac:dyDescent="0.3">
      <c r="A116" t="s">
        <v>39</v>
      </c>
      <c r="B116" s="3">
        <v>6.4372504625281994</v>
      </c>
      <c r="C116" s="3">
        <v>0.28644266227293397</v>
      </c>
      <c r="D116" s="3">
        <v>6.7236931248011338</v>
      </c>
      <c r="E116" s="3">
        <v>222958017484.65396</v>
      </c>
      <c r="F116" s="3">
        <v>20445.432830126982</v>
      </c>
      <c r="G116" s="3">
        <v>6.1889424993028683</v>
      </c>
      <c r="H116" s="3">
        <v>0.26366122505135192</v>
      </c>
      <c r="I116" s="3">
        <v>5.9252812742515166</v>
      </c>
      <c r="K116" t="s">
        <v>39</v>
      </c>
      <c r="L116" s="3">
        <v>6.7236931248011338</v>
      </c>
      <c r="M116" s="20">
        <f t="shared" si="4"/>
        <v>3.0413070077952718E-3</v>
      </c>
      <c r="N116" s="20">
        <f t="shared" si="5"/>
        <v>0.64326091204869917</v>
      </c>
      <c r="O116" s="21">
        <f>VLOOKUP(K116,A:E,5,FALSE)</f>
        <v>222958017484.65396</v>
      </c>
      <c r="P116" s="22">
        <f t="shared" si="6"/>
        <v>2.3498340386365313E-3</v>
      </c>
      <c r="Q116" s="22">
        <f t="shared" si="7"/>
        <v>0.43087230526581821</v>
      </c>
    </row>
    <row r="117" spans="1:17" x14ac:dyDescent="0.3">
      <c r="A117" t="s">
        <v>44</v>
      </c>
      <c r="B117" s="3">
        <v>4.183761958511</v>
      </c>
      <c r="C117" s="3">
        <v>0.57967008797786401</v>
      </c>
      <c r="D117" s="3">
        <v>4.7634320464888642</v>
      </c>
      <c r="E117" s="3">
        <v>223655084018.92416</v>
      </c>
      <c r="F117" s="3">
        <v>21494.685606059869</v>
      </c>
      <c r="G117" s="3">
        <v>4.5769879832907181</v>
      </c>
      <c r="H117" s="3">
        <v>0.55698139514835621</v>
      </c>
      <c r="I117" s="3">
        <v>4.0200065881423619</v>
      </c>
      <c r="K117" t="s">
        <v>44</v>
      </c>
      <c r="L117" s="3">
        <v>4.7634320464888642</v>
      </c>
      <c r="M117" s="20">
        <f t="shared" si="4"/>
        <v>2.1546282668234713E-3</v>
      </c>
      <c r="N117" s="20">
        <f t="shared" si="5"/>
        <v>0.64541554031552262</v>
      </c>
      <c r="O117" s="21">
        <f>VLOOKUP(K117,A:E,5,FALSE)</f>
        <v>223655084018.92416</v>
      </c>
      <c r="P117" s="22">
        <f t="shared" si="6"/>
        <v>2.3571806713699123E-3</v>
      </c>
      <c r="Q117" s="22">
        <f t="shared" si="7"/>
        <v>0.43322948593718813</v>
      </c>
    </row>
    <row r="118" spans="1:17" x14ac:dyDescent="0.3">
      <c r="A118" t="s">
        <v>42</v>
      </c>
      <c r="B118" s="3">
        <v>4.4529711376772028</v>
      </c>
      <c r="C118" s="3">
        <v>0.83125181844927476</v>
      </c>
      <c r="D118" s="3">
        <v>5.2842229561264773</v>
      </c>
      <c r="E118" s="3">
        <v>242206495918.36029</v>
      </c>
      <c r="F118" s="3">
        <v>22647.379189557902</v>
      </c>
      <c r="G118" s="3">
        <v>4.9954018114340695</v>
      </c>
      <c r="H118" s="3">
        <v>0.78581787220485766</v>
      </c>
      <c r="I118" s="3">
        <v>4.209583939229212</v>
      </c>
      <c r="K118" t="s">
        <v>42</v>
      </c>
      <c r="L118" s="3">
        <v>5.2842229561264773</v>
      </c>
      <c r="M118" s="20">
        <f t="shared" si="4"/>
        <v>2.3901959843974038E-3</v>
      </c>
      <c r="N118" s="20">
        <f t="shared" si="5"/>
        <v>0.64780573629992</v>
      </c>
      <c r="O118" s="21">
        <f>VLOOKUP(K118,A:E,5,FALSE)</f>
        <v>242206495918.36029</v>
      </c>
      <c r="P118" s="22">
        <f t="shared" si="6"/>
        <v>2.5527006156081241E-3</v>
      </c>
      <c r="Q118" s="22">
        <f t="shared" si="7"/>
        <v>0.43578218655279627</v>
      </c>
    </row>
    <row r="119" spans="1:17" x14ac:dyDescent="0.3">
      <c r="A119" t="s">
        <v>33</v>
      </c>
      <c r="B119" s="3">
        <v>0.53438397782119995</v>
      </c>
      <c r="C119" s="3">
        <v>7.4640281703533595E-2</v>
      </c>
      <c r="D119" s="3">
        <v>0.60902425952473349</v>
      </c>
      <c r="E119" s="3">
        <v>116887023610.31404</v>
      </c>
      <c r="F119" s="3">
        <v>23867.82650029497</v>
      </c>
      <c r="G119" s="3">
        <v>1.2548352698194953</v>
      </c>
      <c r="H119" s="3">
        <v>0.15378904299140317</v>
      </c>
      <c r="I119" s="3">
        <v>1.1010462268280923</v>
      </c>
      <c r="K119" t="s">
        <v>33</v>
      </c>
      <c r="L119" s="3">
        <v>0.60902425952473349</v>
      </c>
      <c r="M119" s="20">
        <f t="shared" si="4"/>
        <v>2.7547803179442127E-4</v>
      </c>
      <c r="N119" s="20">
        <f t="shared" si="5"/>
        <v>0.64808121433171439</v>
      </c>
      <c r="O119" s="21">
        <f>VLOOKUP(K119,A:E,5,FALSE)</f>
        <v>116887023610.31404</v>
      </c>
      <c r="P119" s="22">
        <f t="shared" si="6"/>
        <v>1.2319140161592655E-3</v>
      </c>
      <c r="Q119" s="22">
        <f t="shared" si="7"/>
        <v>0.43701410056895551</v>
      </c>
    </row>
    <row r="120" spans="1:17" x14ac:dyDescent="0.3">
      <c r="A120" t="s">
        <v>31</v>
      </c>
      <c r="B120" s="3">
        <v>4.9443262783419994</v>
      </c>
      <c r="C120" s="3">
        <v>0.17497921371897196</v>
      </c>
      <c r="D120" s="3">
        <v>5.1193054920609713</v>
      </c>
      <c r="E120" s="3">
        <v>881212616884.02368</v>
      </c>
      <c r="F120" s="3">
        <v>24963.332213909456</v>
      </c>
      <c r="G120" s="3">
        <v>1.5189586541402154</v>
      </c>
      <c r="H120" s="3">
        <v>5.1918407953044504E-2</v>
      </c>
      <c r="I120" s="3">
        <v>1.467040246187171</v>
      </c>
      <c r="K120" t="s">
        <v>31</v>
      </c>
      <c r="L120" s="3">
        <v>5.1193054920609713</v>
      </c>
      <c r="M120" s="20">
        <f t="shared" si="4"/>
        <v>2.3155993854955047E-3</v>
      </c>
      <c r="N120" s="20">
        <f t="shared" si="5"/>
        <v>0.65039681371720992</v>
      </c>
      <c r="O120" s="21">
        <f>VLOOKUP(K120,A:E,5,FALSE)</f>
        <v>881212616884.02368</v>
      </c>
      <c r="P120" s="22">
        <f t="shared" si="6"/>
        <v>9.2874139525957015E-3</v>
      </c>
      <c r="Q120" s="22">
        <f t="shared" si="7"/>
        <v>0.4463015145215512</v>
      </c>
    </row>
    <row r="121" spans="1:17" x14ac:dyDescent="0.3">
      <c r="A121" t="s">
        <v>38</v>
      </c>
      <c r="B121" s="3">
        <v>0.1377781732368</v>
      </c>
      <c r="C121" s="3">
        <v>0.17558031935045201</v>
      </c>
      <c r="D121" s="3">
        <v>0.31335849258725201</v>
      </c>
      <c r="E121" s="3">
        <v>55598805913.761932</v>
      </c>
      <c r="F121" s="3">
        <v>26134.627203986995</v>
      </c>
      <c r="G121" s="3">
        <v>1.477784748633679</v>
      </c>
      <c r="H121" s="3">
        <v>0.82802899629114624</v>
      </c>
      <c r="I121" s="3">
        <v>0.64975575234253302</v>
      </c>
      <c r="K121" t="s">
        <v>38</v>
      </c>
      <c r="L121" s="3">
        <v>0.31335849258725201</v>
      </c>
      <c r="M121" s="20">
        <f t="shared" si="4"/>
        <v>1.4174046342811929E-4</v>
      </c>
      <c r="N121" s="20">
        <f t="shared" si="5"/>
        <v>0.650538554180638</v>
      </c>
      <c r="O121" s="21">
        <f>VLOOKUP(K121,A:E,5,FALSE)</f>
        <v>55598805913.761932</v>
      </c>
      <c r="P121" s="22">
        <f t="shared" si="6"/>
        <v>5.8597563845263503E-4</v>
      </c>
      <c r="Q121" s="22">
        <f t="shared" si="7"/>
        <v>0.44688749016000384</v>
      </c>
    </row>
    <row r="122" spans="1:17" x14ac:dyDescent="0.3">
      <c r="A122" t="s">
        <v>36</v>
      </c>
      <c r="B122" s="3">
        <v>47.940534361407472</v>
      </c>
      <c r="C122" s="3">
        <v>3.7179180497935693</v>
      </c>
      <c r="D122" s="3">
        <v>51.65845241120104</v>
      </c>
      <c r="E122" s="3">
        <v>1428595035672.3743</v>
      </c>
      <c r="F122" s="3">
        <v>29245.21924517295</v>
      </c>
      <c r="G122" s="3">
        <v>10.683712837351761</v>
      </c>
      <c r="H122" s="3">
        <v>0.76891906247250796</v>
      </c>
      <c r="I122" s="3">
        <v>9.9147937748792536</v>
      </c>
      <c r="K122" t="s">
        <v>36</v>
      </c>
      <c r="L122" s="3">
        <v>51.65845241120104</v>
      </c>
      <c r="M122" s="20">
        <f t="shared" si="4"/>
        <v>2.3366505641152547E-2</v>
      </c>
      <c r="N122" s="20">
        <f t="shared" si="5"/>
        <v>0.6739050598217905</v>
      </c>
      <c r="O122" s="21">
        <f>VLOOKUP(K122,A:E,5,FALSE)</f>
        <v>1428595035672.3743</v>
      </c>
      <c r="P122" s="22">
        <f t="shared" si="6"/>
        <v>1.5056472425268008E-2</v>
      </c>
      <c r="Q122" s="22">
        <f t="shared" si="7"/>
        <v>0.46194396258527187</v>
      </c>
    </row>
    <row r="123" spans="1:17" x14ac:dyDescent="0.3">
      <c r="A123" t="s">
        <v>37</v>
      </c>
      <c r="B123" s="3">
        <v>0</v>
      </c>
      <c r="C123" s="3">
        <v>1.6956746741059996E-3</v>
      </c>
      <c r="D123" s="3">
        <v>1.6956746741059996E-3</v>
      </c>
      <c r="E123" s="3">
        <v>13679822692.218899</v>
      </c>
      <c r="F123" s="3">
        <v>29563.868275308228</v>
      </c>
      <c r="G123" s="3">
        <v>3.6946908569492461E-2</v>
      </c>
      <c r="H123" s="3">
        <v>3.6946908569492461E-2</v>
      </c>
      <c r="I123" s="3">
        <v>0</v>
      </c>
      <c r="K123" t="s">
        <v>37</v>
      </c>
      <c r="L123" s="3">
        <v>1.6956746741059996E-3</v>
      </c>
      <c r="M123" s="20">
        <f t="shared" si="4"/>
        <v>7.6699920320234282E-7</v>
      </c>
      <c r="N123" s="20">
        <f t="shared" si="5"/>
        <v>0.67390582682099365</v>
      </c>
      <c r="O123" s="21">
        <f>VLOOKUP(K123,A:E,5,FALSE)</f>
        <v>13679822692.218899</v>
      </c>
      <c r="P123" s="22">
        <f t="shared" si="6"/>
        <v>1.4417652869065783E-4</v>
      </c>
      <c r="Q123" s="22">
        <f t="shared" si="7"/>
        <v>0.46208813911396251</v>
      </c>
    </row>
    <row r="124" spans="1:17" x14ac:dyDescent="0.3">
      <c r="A124" t="s">
        <v>30</v>
      </c>
      <c r="B124" s="3">
        <v>0.35050326261800008</v>
      </c>
      <c r="C124" s="3">
        <v>6.0033887812698E-2</v>
      </c>
      <c r="D124" s="3">
        <v>0.41053715043069805</v>
      </c>
      <c r="E124" s="3">
        <v>31740302544.146255</v>
      </c>
      <c r="F124" s="3">
        <v>32617.216796875</v>
      </c>
      <c r="G124" s="3">
        <v>3.052375287222211</v>
      </c>
      <c r="H124" s="3">
        <v>0.44635657299980075</v>
      </c>
      <c r="I124" s="3">
        <v>2.6060187142224107</v>
      </c>
      <c r="K124" t="s">
        <v>30</v>
      </c>
      <c r="L124" s="3">
        <v>0.41053715043069805</v>
      </c>
      <c r="M124" s="20">
        <f t="shared" si="4"/>
        <v>1.8569698072026637E-4</v>
      </c>
      <c r="N124" s="20">
        <f t="shared" si="5"/>
        <v>0.67409152380171389</v>
      </c>
      <c r="O124" s="21">
        <f>VLOOKUP(K124,A:E,5,FALSE)</f>
        <v>31740302544.146255</v>
      </c>
      <c r="P124" s="22">
        <f t="shared" si="6"/>
        <v>3.3452236504565329E-4</v>
      </c>
      <c r="Q124" s="22">
        <f t="shared" si="7"/>
        <v>0.46242266147900818</v>
      </c>
    </row>
    <row r="125" spans="1:17" x14ac:dyDescent="0.3">
      <c r="A125" t="s">
        <v>51</v>
      </c>
      <c r="B125" s="3">
        <v>0</v>
      </c>
      <c r="C125" s="3">
        <v>3.3008579419999996E-5</v>
      </c>
      <c r="D125" s="3">
        <v>3.3008579419999996E-5</v>
      </c>
      <c r="E125" s="3">
        <v>27454923839.268162</v>
      </c>
      <c r="F125" s="3">
        <v>33034.957638933301</v>
      </c>
      <c r="G125" s="3">
        <v>3.9944889677897942E-4</v>
      </c>
      <c r="H125" s="3">
        <v>3.9944889677897942E-4</v>
      </c>
      <c r="I125" s="3">
        <v>0</v>
      </c>
      <c r="K125" t="s">
        <v>51</v>
      </c>
      <c r="L125" s="3">
        <v>3.3008579419999996E-5</v>
      </c>
      <c r="M125" s="20">
        <f t="shared" si="4"/>
        <v>1.493066712654022E-8</v>
      </c>
      <c r="N125" s="20">
        <f t="shared" si="5"/>
        <v>0.67409153873238103</v>
      </c>
      <c r="O125" s="21">
        <f>VLOOKUP(K125,A:E,5,FALSE)</f>
        <v>27454923839.268162</v>
      </c>
      <c r="P125" s="22">
        <f t="shared" si="6"/>
        <v>2.8935723098688914E-4</v>
      </c>
      <c r="Q125" s="22">
        <f t="shared" si="7"/>
        <v>0.46271201870999507</v>
      </c>
    </row>
    <row r="126" spans="1:17" x14ac:dyDescent="0.3">
      <c r="A126" t="s">
        <v>29</v>
      </c>
      <c r="B126" s="3">
        <v>24.598890634245009</v>
      </c>
      <c r="C126" s="3">
        <v>7.7321874395689036</v>
      </c>
      <c r="D126" s="3">
        <v>32.331078073813913</v>
      </c>
      <c r="E126" s="3">
        <v>2033588532657.241</v>
      </c>
      <c r="F126" s="3">
        <v>34495.254579963643</v>
      </c>
      <c r="G126" s="3">
        <v>5.4813101311398142</v>
      </c>
      <c r="H126" s="3">
        <v>1.310890940649089</v>
      </c>
      <c r="I126" s="3">
        <v>4.1704191904907253</v>
      </c>
      <c r="K126" t="s">
        <v>29</v>
      </c>
      <c r="L126" s="3">
        <v>32.331078073813913</v>
      </c>
      <c r="M126" s="20">
        <f t="shared" si="4"/>
        <v>1.462421506906215E-2</v>
      </c>
      <c r="N126" s="20">
        <f t="shared" si="5"/>
        <v>0.68871575380144323</v>
      </c>
      <c r="O126" s="21">
        <f>VLOOKUP(K126,A:E,5,FALSE)</f>
        <v>2033588532657.241</v>
      </c>
      <c r="P126" s="22">
        <f t="shared" si="6"/>
        <v>2.1432714591426653E-2</v>
      </c>
      <c r="Q126" s="22">
        <f t="shared" si="7"/>
        <v>0.48414473330142171</v>
      </c>
    </row>
    <row r="127" spans="1:17" x14ac:dyDescent="0.3">
      <c r="A127" t="s">
        <v>28</v>
      </c>
      <c r="B127" s="3">
        <v>2.49161021696E-2</v>
      </c>
      <c r="C127" s="3">
        <v>0.14247899038048001</v>
      </c>
      <c r="D127" s="3">
        <v>0.16739509255008</v>
      </c>
      <c r="E127" s="3">
        <v>19721971907.751312</v>
      </c>
      <c r="F127" s="3">
        <v>34670.081599711892</v>
      </c>
      <c r="G127" s="3">
        <v>3.0284215481961909</v>
      </c>
      <c r="H127" s="3">
        <v>2.5776528932853551</v>
      </c>
      <c r="I127" s="3">
        <v>0.45076865491083623</v>
      </c>
      <c r="K127" t="s">
        <v>28</v>
      </c>
      <c r="L127" s="3">
        <v>0.16739509255008</v>
      </c>
      <c r="M127" s="20">
        <f t="shared" si="4"/>
        <v>7.5717296817908245E-5</v>
      </c>
      <c r="N127" s="20">
        <f t="shared" si="5"/>
        <v>0.68879147109826111</v>
      </c>
      <c r="O127" s="21">
        <f>VLOOKUP(K127,A:E,5,FALSE)</f>
        <v>19721971907.751312</v>
      </c>
      <c r="P127" s="22">
        <f t="shared" si="6"/>
        <v>2.0785689351161037E-4</v>
      </c>
      <c r="Q127" s="22">
        <f t="shared" si="7"/>
        <v>0.48435259019493332</v>
      </c>
    </row>
    <row r="128" spans="1:17" x14ac:dyDescent="0.3">
      <c r="A128" t="s">
        <v>32</v>
      </c>
      <c r="B128" s="3">
        <v>18.401041712010869</v>
      </c>
      <c r="C128" s="3">
        <v>2.4720290421807696</v>
      </c>
      <c r="D128" s="3">
        <v>20.873070754191637</v>
      </c>
      <c r="E128" s="3">
        <v>1917295522781.8574</v>
      </c>
      <c r="F128" s="3">
        <v>37048.42640014959</v>
      </c>
      <c r="G128" s="3">
        <v>4.0363592403222963</v>
      </c>
      <c r="H128" s="3">
        <v>0.47803207224541644</v>
      </c>
      <c r="I128" s="3">
        <v>3.5583271680768802</v>
      </c>
      <c r="K128" t="s">
        <v>32</v>
      </c>
      <c r="L128" s="3">
        <v>20.873070754191637</v>
      </c>
      <c r="M128" s="20">
        <f t="shared" si="4"/>
        <v>9.4414505808974071E-3</v>
      </c>
      <c r="N128" s="20">
        <f t="shared" si="5"/>
        <v>0.69823292167915851</v>
      </c>
      <c r="O128" s="21">
        <f>VLOOKUP(K128,A:E,5,FALSE)</f>
        <v>1917295522781.8574</v>
      </c>
      <c r="P128" s="22">
        <f t="shared" si="6"/>
        <v>2.0207061097806584E-2</v>
      </c>
      <c r="Q128" s="22">
        <f t="shared" si="7"/>
        <v>0.50455965129273994</v>
      </c>
    </row>
    <row r="129" spans="1:17" x14ac:dyDescent="0.3">
      <c r="A129" t="s">
        <v>34</v>
      </c>
      <c r="B129" s="3">
        <v>56.594292536239379</v>
      </c>
      <c r="C129" s="3">
        <v>13.648853471115919</v>
      </c>
      <c r="D129" s="3">
        <v>70.243146007355293</v>
      </c>
      <c r="E129" s="3">
        <v>4606002855955.1328</v>
      </c>
      <c r="F129" s="3">
        <v>37152.563600355206</v>
      </c>
      <c r="G129" s="3">
        <v>5.6412653253484804</v>
      </c>
      <c r="H129" s="3">
        <v>1.0961468583611844</v>
      </c>
      <c r="I129" s="3">
        <v>4.5451184669872973</v>
      </c>
      <c r="K129" t="s">
        <v>34</v>
      </c>
      <c r="L129" s="3">
        <v>70.243146007355293</v>
      </c>
      <c r="M129" s="20">
        <f t="shared" si="4"/>
        <v>3.177286176457892E-2</v>
      </c>
      <c r="N129" s="20">
        <f t="shared" si="5"/>
        <v>0.73000578344373745</v>
      </c>
      <c r="O129" s="21">
        <f>VLOOKUP(K129,A:E,5,FALSE)</f>
        <v>4606002855955.1328</v>
      </c>
      <c r="P129" s="22">
        <f t="shared" si="6"/>
        <v>4.8544306300738478E-2</v>
      </c>
      <c r="Q129" s="22">
        <f t="shared" si="7"/>
        <v>0.55310395759347841</v>
      </c>
    </row>
    <row r="130" spans="1:17" x14ac:dyDescent="0.3">
      <c r="A130" t="s">
        <v>27</v>
      </c>
      <c r="B130" s="3">
        <v>21.708703000284601</v>
      </c>
      <c r="C130" s="3">
        <v>2.5349919480691252</v>
      </c>
      <c r="D130" s="3">
        <v>24.243694948353728</v>
      </c>
      <c r="E130" s="3">
        <v>2720362347819.8081</v>
      </c>
      <c r="F130" s="3">
        <v>39683.395348902937</v>
      </c>
      <c r="G130" s="3">
        <v>3.5458365321226393</v>
      </c>
      <c r="H130" s="3">
        <v>0.37076308199920727</v>
      </c>
      <c r="I130" s="3">
        <v>3.1750734501234317</v>
      </c>
      <c r="K130" t="s">
        <v>27</v>
      </c>
      <c r="L130" s="3">
        <v>24.243694948353728</v>
      </c>
      <c r="M130" s="20">
        <f t="shared" si="4"/>
        <v>1.0966074443419785E-2</v>
      </c>
      <c r="N130" s="20">
        <f t="shared" si="5"/>
        <v>0.74097185788715725</v>
      </c>
      <c r="O130" s="21">
        <f>VLOOKUP(K130,A:E,5,FALSE)</f>
        <v>2720362347819.8081</v>
      </c>
      <c r="P130" s="22">
        <f t="shared" si="6"/>
        <v>2.8670868688416465E-2</v>
      </c>
      <c r="Q130" s="22">
        <f t="shared" si="7"/>
        <v>0.58177482628189492</v>
      </c>
    </row>
    <row r="131" spans="1:17" x14ac:dyDescent="0.3">
      <c r="A131" t="s">
        <v>25</v>
      </c>
      <c r="B131" s="3">
        <v>16.937835737252403</v>
      </c>
      <c r="C131" s="3">
        <v>6.6682012768166002E-2</v>
      </c>
      <c r="D131" s="3">
        <v>17.004517750020568</v>
      </c>
      <c r="E131" s="3">
        <v>457093751868.53564</v>
      </c>
      <c r="F131" s="3">
        <v>41605.416867084365</v>
      </c>
      <c r="G131" s="3">
        <v>16.219879459194107</v>
      </c>
      <c r="H131" s="3">
        <v>6.3605109247793085E-2</v>
      </c>
      <c r="I131" s="3">
        <v>16.156274349946315</v>
      </c>
      <c r="K131" t="s">
        <v>25</v>
      </c>
      <c r="L131" s="3">
        <v>17.004517750020568</v>
      </c>
      <c r="M131" s="20">
        <f t="shared" ref="M131:M151" si="8">L131/L$153</f>
        <v>7.6916001425698976E-3</v>
      </c>
      <c r="N131" s="20">
        <f t="shared" ref="N131:N151" si="9">N130+M131</f>
        <v>0.74866345802972711</v>
      </c>
      <c r="O131" s="21">
        <f>VLOOKUP(K131,A:E,5,FALSE)</f>
        <v>457093751868.53564</v>
      </c>
      <c r="P131" s="22">
        <f t="shared" ref="P131:P151" si="10">O131/O$153</f>
        <v>4.8174740209227717E-3</v>
      </c>
      <c r="Q131" s="22">
        <f t="shared" si="7"/>
        <v>0.58659230030281773</v>
      </c>
    </row>
    <row r="132" spans="1:17" x14ac:dyDescent="0.3">
      <c r="A132" t="s">
        <v>23</v>
      </c>
      <c r="B132" s="3">
        <v>3.4972323075635994</v>
      </c>
      <c r="C132" s="3">
        <v>0.42034852260407801</v>
      </c>
      <c r="D132" s="3">
        <v>3.9175808301676773</v>
      </c>
      <c r="E132" s="3">
        <v>417380424316.46967</v>
      </c>
      <c r="F132" s="3">
        <v>41845.166056752256</v>
      </c>
      <c r="G132" s="3">
        <v>3.9776432431390778</v>
      </c>
      <c r="H132" s="3">
        <v>0.42679309838976343</v>
      </c>
      <c r="I132" s="3">
        <v>3.5508501447493139</v>
      </c>
      <c r="K132" t="s">
        <v>23</v>
      </c>
      <c r="L132" s="3">
        <v>3.9175808301676773</v>
      </c>
      <c r="M132" s="20">
        <f t="shared" si="8"/>
        <v>1.7720270409791749E-3</v>
      </c>
      <c r="N132" s="20">
        <f t="shared" si="9"/>
        <v>0.75043548507070634</v>
      </c>
      <c r="O132" s="21">
        <f>VLOOKUP(K132,A:E,5,FALSE)</f>
        <v>417380424316.46967</v>
      </c>
      <c r="P132" s="22">
        <f t="shared" si="10"/>
        <v>4.398921102655144E-3</v>
      </c>
      <c r="Q132" s="22">
        <f t="shared" ref="Q132:Q151" si="11">P132+Q131</f>
        <v>0.59099122140547289</v>
      </c>
    </row>
    <row r="133" spans="1:17" x14ac:dyDescent="0.3">
      <c r="A133" t="s">
        <v>26</v>
      </c>
      <c r="B133" s="3">
        <v>4.7169035000000003E-3</v>
      </c>
      <c r="C133" s="3">
        <v>0.11020517751402018</v>
      </c>
      <c r="D133" s="3">
        <v>0.11492208101402017</v>
      </c>
      <c r="E133" s="3">
        <v>224233557754.35229</v>
      </c>
      <c r="F133" s="3">
        <v>42408.237873163554</v>
      </c>
      <c r="G133" s="3">
        <v>0.2210040019500388</v>
      </c>
      <c r="H133" s="3">
        <v>0.21193303368080801</v>
      </c>
      <c r="I133" s="3">
        <v>9.0709682692307701E-3</v>
      </c>
      <c r="K133" t="s">
        <v>26</v>
      </c>
      <c r="L133" s="3">
        <v>0.11492208101402017</v>
      </c>
      <c r="M133" s="20">
        <f t="shared" si="8"/>
        <v>5.1982344204427538E-5</v>
      </c>
      <c r="N133" s="20">
        <f t="shared" si="9"/>
        <v>0.75048746741491079</v>
      </c>
      <c r="O133" s="21">
        <f>VLOOKUP(K133,A:E,5,FALSE)</f>
        <v>224233557754.35229</v>
      </c>
      <c r="P133" s="22">
        <f t="shared" si="10"/>
        <v>2.3632774123137977E-3</v>
      </c>
      <c r="Q133" s="22">
        <f t="shared" si="11"/>
        <v>0.59335449881778668</v>
      </c>
    </row>
    <row r="134" spans="1:17" x14ac:dyDescent="0.3">
      <c r="A134" t="s">
        <v>20</v>
      </c>
      <c r="B134" s="3">
        <v>71.436897249554619</v>
      </c>
      <c r="C134" s="3">
        <v>8.4101064024977745</v>
      </c>
      <c r="D134" s="3">
        <v>79.847003652052393</v>
      </c>
      <c r="E134" s="3">
        <v>3677048776153.856</v>
      </c>
      <c r="F134" s="3">
        <v>44027.763155446919</v>
      </c>
      <c r="G134" s="3">
        <v>9.5869393697224776</v>
      </c>
      <c r="H134" s="3">
        <v>1.0097708929067439</v>
      </c>
      <c r="I134" s="3">
        <v>8.5771684768157339</v>
      </c>
      <c r="K134" t="s">
        <v>20</v>
      </c>
      <c r="L134" s="3">
        <v>79.847003652052393</v>
      </c>
      <c r="M134" s="20">
        <f t="shared" si="8"/>
        <v>3.6116944549818973E-2</v>
      </c>
      <c r="N134" s="20">
        <f t="shared" si="9"/>
        <v>0.78660441196472974</v>
      </c>
      <c r="O134" s="21">
        <f>VLOOKUP(K134,A:E,5,FALSE)</f>
        <v>3677048776153.856</v>
      </c>
      <c r="P134" s="22">
        <f t="shared" si="10"/>
        <v>3.8753728048949151E-2</v>
      </c>
      <c r="Q134" s="22">
        <f t="shared" si="11"/>
        <v>0.63210822686673585</v>
      </c>
    </row>
    <row r="135" spans="1:17" x14ac:dyDescent="0.3">
      <c r="A135" t="s">
        <v>21</v>
      </c>
      <c r="B135" s="3">
        <v>7.4217023198313994</v>
      </c>
      <c r="C135" s="3">
        <v>0.96378776250168763</v>
      </c>
      <c r="D135" s="3">
        <v>8.3854900823330869</v>
      </c>
      <c r="E135" s="3">
        <v>1833766996134.793</v>
      </c>
      <c r="F135" s="3">
        <v>44413.398384740372</v>
      </c>
      <c r="G135" s="3">
        <v>2.0920062942465498</v>
      </c>
      <c r="H135" s="3">
        <v>0.24044510764126381</v>
      </c>
      <c r="I135" s="3">
        <v>1.8515611866052859</v>
      </c>
      <c r="K135" t="s">
        <v>21</v>
      </c>
      <c r="L135" s="3">
        <v>8.3854900823330869</v>
      </c>
      <c r="M135" s="20">
        <f t="shared" si="8"/>
        <v>3.7929824097901054E-3</v>
      </c>
      <c r="N135" s="20">
        <f t="shared" si="9"/>
        <v>0.79039739437451983</v>
      </c>
      <c r="O135" s="21">
        <f>VLOOKUP(K135,A:E,5,FALSE)</f>
        <v>1833766996134.793</v>
      </c>
      <c r="P135" s="22">
        <f t="shared" si="10"/>
        <v>1.9326724174619059E-2</v>
      </c>
      <c r="Q135" s="22">
        <f t="shared" si="11"/>
        <v>0.65143495104135485</v>
      </c>
    </row>
    <row r="136" spans="1:17" x14ac:dyDescent="0.3">
      <c r="A136" t="s">
        <v>18</v>
      </c>
      <c r="B136" s="3">
        <v>2.0737688584945793</v>
      </c>
      <c r="C136" s="3">
        <v>1.2359054200065822</v>
      </c>
      <c r="D136" s="3">
        <v>3.3096742785011615</v>
      </c>
      <c r="E136" s="3">
        <v>534178915343.83661</v>
      </c>
      <c r="F136" s="3">
        <v>45045.660102139846</v>
      </c>
      <c r="G136" s="3">
        <v>2.8095835740683035</v>
      </c>
      <c r="H136" s="3">
        <v>1.0491605139841746</v>
      </c>
      <c r="I136" s="3">
        <v>1.7604230600841286</v>
      </c>
      <c r="K136" t="s">
        <v>18</v>
      </c>
      <c r="L136" s="3">
        <v>3.3096742785011615</v>
      </c>
      <c r="M136" s="20">
        <f t="shared" si="8"/>
        <v>1.4970545784721632E-3</v>
      </c>
      <c r="N136" s="20">
        <f t="shared" si="9"/>
        <v>0.79189444895299199</v>
      </c>
      <c r="O136" s="21">
        <f>VLOOKUP(K136,A:E,5,FALSE)</f>
        <v>534178915343.83661</v>
      </c>
      <c r="P136" s="22">
        <f t="shared" si="10"/>
        <v>5.6299020423577545E-3</v>
      </c>
      <c r="Q136" s="22">
        <f t="shared" si="11"/>
        <v>0.65706485308371265</v>
      </c>
    </row>
    <row r="137" spans="1:17" x14ac:dyDescent="0.3">
      <c r="A137" t="s">
        <v>22</v>
      </c>
      <c r="B137" s="3">
        <v>1.9109433172199999E-2</v>
      </c>
      <c r="C137" s="3">
        <v>4.4793583454888569E-2</v>
      </c>
      <c r="D137" s="3">
        <v>6.3903016627088569E-2</v>
      </c>
      <c r="E137" s="3">
        <v>254323653957.11951</v>
      </c>
      <c r="F137" s="3">
        <v>45254.035865891739</v>
      </c>
      <c r="G137" s="3">
        <v>0.11444132370141388</v>
      </c>
      <c r="H137" s="3">
        <v>8.0219013975846978E-2</v>
      </c>
      <c r="I137" s="3">
        <v>3.4222309725566898E-2</v>
      </c>
      <c r="K137" t="s">
        <v>22</v>
      </c>
      <c r="L137" s="3">
        <v>6.3903016627088569E-2</v>
      </c>
      <c r="M137" s="20">
        <f t="shared" si="8"/>
        <v>2.8905050941475036E-5</v>
      </c>
      <c r="N137" s="20">
        <f t="shared" si="9"/>
        <v>0.79192335400393343</v>
      </c>
      <c r="O137" s="21">
        <f>VLOOKUP(K137,A:E,5,FALSE)</f>
        <v>254323653957.11951</v>
      </c>
      <c r="P137" s="22">
        <f t="shared" si="10"/>
        <v>2.6804076643711251E-3</v>
      </c>
      <c r="Q137" s="22">
        <f t="shared" si="11"/>
        <v>0.65974526074808382</v>
      </c>
    </row>
    <row r="138" spans="1:17" x14ac:dyDescent="0.3">
      <c r="A138" t="s">
        <v>17</v>
      </c>
      <c r="B138" s="3">
        <v>0.50250145883241804</v>
      </c>
      <c r="C138" s="3">
        <v>0.77398043163984231</v>
      </c>
      <c r="D138" s="3">
        <v>1.2764818904722603</v>
      </c>
      <c r="E138" s="3">
        <v>421809268656.55359</v>
      </c>
      <c r="F138" s="3">
        <v>45958.825007126143</v>
      </c>
      <c r="G138" s="3">
        <v>1.3978485534961553</v>
      </c>
      <c r="H138" s="3">
        <v>0.84756974217770509</v>
      </c>
      <c r="I138" s="3">
        <v>0.55027881131845002</v>
      </c>
      <c r="K138" t="s">
        <v>17</v>
      </c>
      <c r="L138" s="3">
        <v>1.2764818904722603</v>
      </c>
      <c r="M138" s="20">
        <f t="shared" si="8"/>
        <v>5.7738704708238222E-4</v>
      </c>
      <c r="N138" s="20">
        <f t="shared" si="9"/>
        <v>0.79250074105101587</v>
      </c>
      <c r="O138" s="21">
        <f>VLOOKUP(K138,A:E,5,FALSE)</f>
        <v>421809268656.55359</v>
      </c>
      <c r="P138" s="22">
        <f t="shared" si="10"/>
        <v>4.4455982721938814E-3</v>
      </c>
      <c r="Q138" s="22">
        <f t="shared" si="11"/>
        <v>0.66419085902027775</v>
      </c>
    </row>
    <row r="139" spans="1:17" x14ac:dyDescent="0.3">
      <c r="A139" t="s">
        <v>24</v>
      </c>
      <c r="B139" s="3">
        <v>29.040277795901204</v>
      </c>
      <c r="C139" s="3">
        <v>1.4021941411331051</v>
      </c>
      <c r="D139" s="3">
        <v>30.442471937034309</v>
      </c>
      <c r="E139" s="3">
        <v>3320141995547.6167</v>
      </c>
      <c r="F139" s="3">
        <v>47960.910576194154</v>
      </c>
      <c r="G139" s="3">
        <v>4.4446755733566414</v>
      </c>
      <c r="H139" s="3">
        <v>0.20472378396500396</v>
      </c>
      <c r="I139" s="3">
        <v>4.2399517893916379</v>
      </c>
      <c r="K139" t="s">
        <v>24</v>
      </c>
      <c r="L139" s="3">
        <v>30.442471937034309</v>
      </c>
      <c r="M139" s="20">
        <f t="shared" si="8"/>
        <v>1.3769947782893754E-2</v>
      </c>
      <c r="N139" s="20">
        <f t="shared" si="9"/>
        <v>0.80627068883390962</v>
      </c>
      <c r="O139" s="21">
        <f>VLOOKUP(K139,A:E,5,FALSE)</f>
        <v>3320141995547.6167</v>
      </c>
      <c r="P139" s="22">
        <f t="shared" si="10"/>
        <v>3.4992160238334555E-2</v>
      </c>
      <c r="Q139" s="22">
        <f t="shared" si="11"/>
        <v>0.69918301925861226</v>
      </c>
    </row>
    <row r="140" spans="1:17" x14ac:dyDescent="0.3">
      <c r="A140" t="s">
        <v>15</v>
      </c>
      <c r="B140" s="3">
        <v>7.4828405680708032</v>
      </c>
      <c r="C140" s="3">
        <v>1.9896766988729395</v>
      </c>
      <c r="D140" s="3">
        <v>9.4725172669437434</v>
      </c>
      <c r="E140" s="3">
        <v>920880034447.74963</v>
      </c>
      <c r="F140" s="3">
        <v>51178.525696814686</v>
      </c>
      <c r="G140" s="3">
        <v>5.2986828172259228</v>
      </c>
      <c r="H140" s="3">
        <v>1.1129740320393604</v>
      </c>
      <c r="I140" s="3">
        <v>4.185708785186562</v>
      </c>
      <c r="K140" t="s">
        <v>15</v>
      </c>
      <c r="L140" s="3">
        <v>9.4725172669437434</v>
      </c>
      <c r="M140" s="20">
        <f t="shared" si="8"/>
        <v>4.28467400440287E-3</v>
      </c>
      <c r="N140" s="20">
        <f t="shared" si="9"/>
        <v>0.81055536283831253</v>
      </c>
      <c r="O140" s="21">
        <f>VLOOKUP(K140,A:E,5,FALSE)</f>
        <v>920880034447.74963</v>
      </c>
      <c r="P140" s="22">
        <f t="shared" si="10"/>
        <v>9.7054830091276908E-3</v>
      </c>
      <c r="Q140" s="22">
        <f t="shared" si="11"/>
        <v>0.70888850226773992</v>
      </c>
    </row>
    <row r="141" spans="1:17" x14ac:dyDescent="0.3">
      <c r="A141" t="s">
        <v>19</v>
      </c>
      <c r="B141" s="3">
        <v>3.27470036992E-2</v>
      </c>
      <c r="C141" s="3">
        <v>0.29534088065226199</v>
      </c>
      <c r="D141" s="3">
        <v>0.32808788435146197</v>
      </c>
      <c r="E141" s="3">
        <v>572983369203.27405</v>
      </c>
      <c r="F141" s="3">
        <v>54209.947426487714</v>
      </c>
      <c r="G141" s="3">
        <v>0.31137832691837575</v>
      </c>
      <c r="H141" s="3">
        <v>0.28029913225807068</v>
      </c>
      <c r="I141" s="3">
        <v>3.1079194660305114E-2</v>
      </c>
      <c r="K141" t="s">
        <v>19</v>
      </c>
      <c r="L141" s="3">
        <v>0.32808788435146197</v>
      </c>
      <c r="M141" s="20">
        <f t="shared" si="8"/>
        <v>1.4840296297436066E-4</v>
      </c>
      <c r="N141" s="20">
        <f t="shared" si="9"/>
        <v>0.81070376580128689</v>
      </c>
      <c r="O141" s="21">
        <f>VLOOKUP(K141,A:E,5,FALSE)</f>
        <v>572983369203.27405</v>
      </c>
      <c r="P141" s="22">
        <f t="shared" si="10"/>
        <v>6.0388760167333693E-3</v>
      </c>
      <c r="Q141" s="22">
        <f t="shared" si="11"/>
        <v>0.71492737828447328</v>
      </c>
    </row>
    <row r="142" spans="1:17" x14ac:dyDescent="0.3">
      <c r="A142" t="s">
        <v>10</v>
      </c>
      <c r="B142" s="3">
        <v>0</v>
      </c>
      <c r="C142" s="3">
        <v>1.7341622388E-3</v>
      </c>
      <c r="D142" s="3">
        <v>1.7341622388E-3</v>
      </c>
      <c r="E142" s="3">
        <v>22922580053.479584</v>
      </c>
      <c r="F142" s="3">
        <v>59307.177775971351</v>
      </c>
      <c r="G142" s="3">
        <v>4.4965740524758664E-2</v>
      </c>
      <c r="H142" s="3">
        <v>4.4965740524758664E-2</v>
      </c>
      <c r="I142" s="3">
        <v>0</v>
      </c>
      <c r="K142" t="s">
        <v>10</v>
      </c>
      <c r="L142" s="3">
        <v>1.7341622388E-3</v>
      </c>
      <c r="M142" s="20">
        <f t="shared" si="8"/>
        <v>7.844081625412329E-7</v>
      </c>
      <c r="N142" s="20">
        <f t="shared" si="9"/>
        <v>0.81070455020944943</v>
      </c>
      <c r="O142" s="21">
        <f>VLOOKUP(K142,A:E,5,FALSE)</f>
        <v>22922580053.479584</v>
      </c>
      <c r="P142" s="22">
        <f t="shared" si="10"/>
        <v>2.4158924388868215E-4</v>
      </c>
      <c r="Q142" s="22">
        <f t="shared" si="11"/>
        <v>0.71516896752836201</v>
      </c>
    </row>
    <row r="143" spans="1:17" x14ac:dyDescent="0.3">
      <c r="A143" t="s">
        <v>13</v>
      </c>
      <c r="B143" s="3">
        <v>6.707458488923403</v>
      </c>
      <c r="C143" s="3">
        <v>0.10600172927491183</v>
      </c>
      <c r="D143" s="3">
        <v>6.8134602181983146</v>
      </c>
      <c r="E143" s="3">
        <v>363238912546.89032</v>
      </c>
      <c r="F143" s="3">
        <v>60772.862427604108</v>
      </c>
      <c r="G143" s="3">
        <v>11.457062741045016</v>
      </c>
      <c r="H143" s="3">
        <v>0.17824547646409764</v>
      </c>
      <c r="I143" s="3">
        <v>11.278817264580919</v>
      </c>
      <c r="K143" t="s">
        <v>13</v>
      </c>
      <c r="L143" s="3">
        <v>6.8134602181983146</v>
      </c>
      <c r="M143" s="20">
        <f t="shared" si="8"/>
        <v>3.0819110754037758E-3</v>
      </c>
      <c r="N143" s="20">
        <f t="shared" si="9"/>
        <v>0.81378646128485321</v>
      </c>
      <c r="O143" s="21">
        <f>VLOOKUP(K143,A:E,5,FALSE)</f>
        <v>363238912546.89032</v>
      </c>
      <c r="P143" s="22">
        <f t="shared" si="10"/>
        <v>3.8283044067646071E-3</v>
      </c>
      <c r="Q143" s="22">
        <f t="shared" si="11"/>
        <v>0.71899727193512664</v>
      </c>
    </row>
    <row r="144" spans="1:17" x14ac:dyDescent="0.3">
      <c r="A144" t="s">
        <v>14</v>
      </c>
      <c r="B144" s="3">
        <v>38.677338154021413</v>
      </c>
      <c r="C144" s="3">
        <v>5.9593821503897164</v>
      </c>
      <c r="D144" s="3">
        <v>44.636720304411128</v>
      </c>
      <c r="E144" s="3">
        <v>1672078242948.2178</v>
      </c>
      <c r="F144" s="3">
        <v>61480.670710530991</v>
      </c>
      <c r="G144" s="3">
        <v>16.74300483865299</v>
      </c>
      <c r="H144" s="3">
        <v>2.2353336781666937</v>
      </c>
      <c r="I144" s="3">
        <v>14.507671160486295</v>
      </c>
      <c r="K144" t="s">
        <v>14</v>
      </c>
      <c r="L144" s="3">
        <v>44.636720304411128</v>
      </c>
      <c r="M144" s="20">
        <f t="shared" si="8"/>
        <v>2.0190387596075519E-2</v>
      </c>
      <c r="N144" s="20">
        <f t="shared" si="9"/>
        <v>0.83397684888092871</v>
      </c>
      <c r="O144" s="21">
        <f>VLOOKUP(K144,A:E,5,FALSE)</f>
        <v>1672078242948.2178</v>
      </c>
      <c r="P144" s="22">
        <f t="shared" si="10"/>
        <v>1.7622628757065096E-2</v>
      </c>
      <c r="Q144" s="22">
        <f t="shared" si="11"/>
        <v>0.73661990069219174</v>
      </c>
    </row>
    <row r="145" spans="1:17" x14ac:dyDescent="0.3">
      <c r="A145" t="s">
        <v>11</v>
      </c>
      <c r="B145" s="3">
        <v>3.3413308515999995</v>
      </c>
      <c r="C145" s="3">
        <v>3.8832096239369403E-2</v>
      </c>
      <c r="D145" s="3">
        <v>3.3801629478393691</v>
      </c>
      <c r="E145" s="3">
        <v>177634714249.32825</v>
      </c>
      <c r="F145" s="3">
        <v>62157.375179184797</v>
      </c>
      <c r="G145" s="3">
        <v>12.726363793204936</v>
      </c>
      <c r="H145" s="3">
        <v>0.14620342013714219</v>
      </c>
      <c r="I145" s="3">
        <v>12.580160373067793</v>
      </c>
      <c r="K145" t="s">
        <v>11</v>
      </c>
      <c r="L145" s="3">
        <v>3.3801629478393691</v>
      </c>
      <c r="M145" s="20">
        <f t="shared" si="8"/>
        <v>1.5289384970343738E-3</v>
      </c>
      <c r="N145" s="20">
        <f t="shared" si="9"/>
        <v>0.83550578737796311</v>
      </c>
      <c r="O145" s="21">
        <f>VLOOKUP(K145,A:E,5,FALSE)</f>
        <v>177634714249.32825</v>
      </c>
      <c r="P145" s="22">
        <f t="shared" si="10"/>
        <v>1.8721555864896196E-3</v>
      </c>
      <c r="Q145" s="22">
        <f t="shared" si="11"/>
        <v>0.73849205627868131</v>
      </c>
    </row>
    <row r="146" spans="1:17" x14ac:dyDescent="0.3">
      <c r="A146" t="s">
        <v>12</v>
      </c>
      <c r="B146" s="3">
        <v>337.63486118585604</v>
      </c>
      <c r="C146" s="3">
        <v>24.203332490864735</v>
      </c>
      <c r="D146" s="3">
        <v>361.83819367672078</v>
      </c>
      <c r="E146" s="3">
        <v>22568462768174.316</v>
      </c>
      <c r="F146" s="3">
        <v>66356.170675010115</v>
      </c>
      <c r="G146" s="3">
        <v>10.743215545698167</v>
      </c>
      <c r="H146" s="3">
        <v>0.71861296683863118</v>
      </c>
      <c r="I146" s="3">
        <v>10.024602578859536</v>
      </c>
      <c r="K146" t="s">
        <v>12</v>
      </c>
      <c r="L146" s="3">
        <v>361.83819367672078</v>
      </c>
      <c r="M146" s="20">
        <f t="shared" si="8"/>
        <v>0.16366913446091311</v>
      </c>
      <c r="N146" s="20">
        <f t="shared" si="9"/>
        <v>0.99917492183887624</v>
      </c>
      <c r="O146" s="21">
        <f>VLOOKUP(K146,A:E,5,FALSE)</f>
        <v>22568462768174.316</v>
      </c>
      <c r="P146" s="22">
        <f t="shared" si="10"/>
        <v>0.23785707556359756</v>
      </c>
      <c r="Q146" s="22">
        <f t="shared" si="11"/>
        <v>0.97634913184227889</v>
      </c>
    </row>
    <row r="147" spans="1:17" x14ac:dyDescent="0.3">
      <c r="A147" t="s">
        <v>9</v>
      </c>
      <c r="B147" s="3">
        <v>0</v>
      </c>
      <c r="C147" s="3">
        <v>0.63403971694599992</v>
      </c>
      <c r="D147" s="3">
        <v>0.63403971694599992</v>
      </c>
      <c r="E147" s="3">
        <v>408736675576.89142</v>
      </c>
      <c r="F147" s="3">
        <v>67706.833614973919</v>
      </c>
      <c r="G147" s="3">
        <v>1.0714387150874807</v>
      </c>
      <c r="H147" s="3">
        <v>1.0714387150874807</v>
      </c>
      <c r="I147" s="3">
        <v>0</v>
      </c>
      <c r="K147" t="s">
        <v>9</v>
      </c>
      <c r="L147" s="3">
        <v>0.63403971694599992</v>
      </c>
      <c r="M147" s="20">
        <f t="shared" si="8"/>
        <v>2.8679319513491829E-4</v>
      </c>
      <c r="N147" s="20">
        <f t="shared" si="9"/>
        <v>0.99946171503401116</v>
      </c>
      <c r="O147" s="21">
        <f>VLOOKUP(K147,A:E,5,FALSE)</f>
        <v>408736675576.89142</v>
      </c>
      <c r="P147" s="22">
        <f t="shared" si="10"/>
        <v>4.3078215528886479E-3</v>
      </c>
      <c r="Q147" s="22">
        <f t="shared" si="11"/>
        <v>0.98065695339516756</v>
      </c>
    </row>
    <row r="148" spans="1:17" x14ac:dyDescent="0.3">
      <c r="A148" t="s">
        <v>8</v>
      </c>
      <c r="B148" s="3">
        <v>5.4425649199999994E-3</v>
      </c>
      <c r="C148" s="3">
        <v>0.11030758050202756</v>
      </c>
      <c r="D148" s="3">
        <v>0.11575014542202756</v>
      </c>
      <c r="E148" s="3">
        <v>443929688973.89081</v>
      </c>
      <c r="F148" s="3">
        <v>79667.527231477608</v>
      </c>
      <c r="G148" s="3">
        <v>0.20970745063280399</v>
      </c>
      <c r="H148" s="3">
        <v>0.19984701883709993</v>
      </c>
      <c r="I148" s="3">
        <v>9.8604317957040714E-3</v>
      </c>
      <c r="K148" t="s">
        <v>8</v>
      </c>
      <c r="L148" s="3">
        <v>0.11575014542202756</v>
      </c>
      <c r="M148" s="20">
        <f t="shared" si="8"/>
        <v>5.2356899979093892E-5</v>
      </c>
      <c r="N148" s="20">
        <f t="shared" si="9"/>
        <v>0.99951407193399022</v>
      </c>
      <c r="O148" s="21">
        <f>VLOOKUP(K148,A:E,5,FALSE)</f>
        <v>443929688973.89081</v>
      </c>
      <c r="P148" s="22">
        <f t="shared" si="10"/>
        <v>4.6787332686252332E-3</v>
      </c>
      <c r="Q148" s="22">
        <f t="shared" si="11"/>
        <v>0.98533568666379279</v>
      </c>
    </row>
    <row r="149" spans="1:17" x14ac:dyDescent="0.3">
      <c r="A149" t="s">
        <v>7</v>
      </c>
      <c r="B149" s="3">
        <v>0.22597891183396002</v>
      </c>
      <c r="C149" s="3">
        <v>0.75991773668553886</v>
      </c>
      <c r="D149" s="3">
        <v>0.98589664851949887</v>
      </c>
      <c r="E149" s="3">
        <v>811109937475.13135</v>
      </c>
      <c r="F149" s="3">
        <v>90067.464543116846</v>
      </c>
      <c r="G149" s="3">
        <v>1.1091420758785573</v>
      </c>
      <c r="H149" s="3">
        <v>0.8549138869982309</v>
      </c>
      <c r="I149" s="3">
        <v>0.25422818888032633</v>
      </c>
      <c r="K149" t="s">
        <v>7</v>
      </c>
      <c r="L149" s="3">
        <v>0.98589664851949887</v>
      </c>
      <c r="M149" s="20">
        <f t="shared" si="8"/>
        <v>4.4594753663640884E-4</v>
      </c>
      <c r="N149" s="20">
        <f t="shared" si="9"/>
        <v>0.99996001947062663</v>
      </c>
      <c r="O149" s="21">
        <f>VLOOKUP(K149,A:E,5,FALSE)</f>
        <v>811109937475.13135</v>
      </c>
      <c r="P149" s="22">
        <f t="shared" si="10"/>
        <v>8.5485768202374652E-3</v>
      </c>
      <c r="Q149" s="22">
        <f t="shared" si="11"/>
        <v>0.99388426348403025</v>
      </c>
    </row>
    <row r="150" spans="1:17" x14ac:dyDescent="0.3">
      <c r="A150" t="s">
        <v>6</v>
      </c>
      <c r="B150" s="3">
        <v>0</v>
      </c>
      <c r="C150" s="3">
        <v>4.7566801773569992E-2</v>
      </c>
      <c r="D150" s="3">
        <v>4.7566801773569992E-2</v>
      </c>
      <c r="E150" s="3">
        <v>509767195342.46063</v>
      </c>
      <c r="F150" s="3">
        <v>94474.987970706905</v>
      </c>
      <c r="G150" s="3">
        <v>8.9553725820223806E-2</v>
      </c>
      <c r="H150" s="3">
        <v>8.9553725820223806E-2</v>
      </c>
      <c r="I150" s="3">
        <v>0</v>
      </c>
      <c r="K150" t="s">
        <v>6</v>
      </c>
      <c r="L150" s="3">
        <v>4.7566801773569992E-2</v>
      </c>
      <c r="M150" s="20">
        <f t="shared" si="8"/>
        <v>2.1515742150508356E-5</v>
      </c>
      <c r="N150" s="20">
        <f t="shared" si="9"/>
        <v>0.99998153521277711</v>
      </c>
      <c r="O150" s="21">
        <f>VLOOKUP(K150,A:E,5,FALSE)</f>
        <v>509767195342.46063</v>
      </c>
      <c r="P150" s="22">
        <f t="shared" si="10"/>
        <v>5.3726182216274872E-3</v>
      </c>
      <c r="Q150" s="22">
        <f t="shared" si="11"/>
        <v>0.99925688170565774</v>
      </c>
    </row>
    <row r="151" spans="1:17" x14ac:dyDescent="0.3">
      <c r="A151" t="s">
        <v>5</v>
      </c>
      <c r="B151" s="3">
        <v>2.7100970505999997E-2</v>
      </c>
      <c r="C151" s="3">
        <v>1.3720808611919998E-2</v>
      </c>
      <c r="D151" s="3">
        <v>4.0821779117919996E-2</v>
      </c>
      <c r="E151" s="3">
        <v>70508886559.21376</v>
      </c>
      <c r="F151" s="3">
        <v>104147.17399280037</v>
      </c>
      <c r="G151" s="3">
        <v>0.61254413993847812</v>
      </c>
      <c r="H151" s="3">
        <v>0.20588521843134308</v>
      </c>
      <c r="I151" s="3">
        <v>0.40665892150713501</v>
      </c>
      <c r="K151" t="s">
        <v>5</v>
      </c>
      <c r="L151" s="3">
        <v>4.0821779117919996E-2</v>
      </c>
      <c r="M151" s="20">
        <f t="shared" si="8"/>
        <v>1.8464787222970233E-5</v>
      </c>
      <c r="N151" s="20">
        <f t="shared" si="9"/>
        <v>1</v>
      </c>
      <c r="O151" s="21">
        <f>VLOOKUP(K151,A:E,5,FALSE)</f>
        <v>70508886559.21376</v>
      </c>
      <c r="P151" s="22">
        <f t="shared" si="10"/>
        <v>7.43118294342594E-4</v>
      </c>
      <c r="Q151" s="22">
        <f t="shared" si="11"/>
        <v>1.0000000000000004</v>
      </c>
    </row>
    <row r="152" spans="1:17" x14ac:dyDescent="0.3">
      <c r="L152" s="3"/>
      <c r="M152" s="20"/>
      <c r="N152" s="20"/>
      <c r="O152" s="21"/>
      <c r="P152" s="22"/>
      <c r="Q152" s="22"/>
    </row>
    <row r="153" spans="1:17" x14ac:dyDescent="0.3">
      <c r="D153" s="31">
        <f>SUM(D2:D152)</f>
        <v>2210.7906592683407</v>
      </c>
      <c r="E153" s="31">
        <f>SUM(E2:E152)</f>
        <v>94882452896130.156</v>
      </c>
      <c r="L153" s="3">
        <v>2210.7906592683407</v>
      </c>
      <c r="M153" s="20"/>
      <c r="N153" s="20"/>
      <c r="O153" s="31">
        <f>SUM(O2:O152)</f>
        <v>94882452896130.156</v>
      </c>
      <c r="P153" s="22"/>
      <c r="Q153" s="22"/>
    </row>
    <row r="154" spans="1:17" x14ac:dyDescent="0.3">
      <c r="L154" s="3"/>
      <c r="M154" s="20"/>
      <c r="N154" s="20"/>
      <c r="O154" s="21"/>
      <c r="P154" s="22"/>
      <c r="Q154" s="22"/>
    </row>
  </sheetData>
  <sortState xmlns:xlrd2="http://schemas.microsoft.com/office/spreadsheetml/2017/richdata2" ref="A2:I151">
    <sortCondition ref="F2:F15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863C-F3C8-446E-AFA8-6EBE66E8DB17}">
  <dimension ref="A1:AJ162"/>
  <sheetViews>
    <sheetView tabSelected="1" workbookViewId="0">
      <pane xSplit="1" ySplit="1" topLeftCell="B118" activePane="bottomRight" state="frozen"/>
      <selection pane="topRight" activeCell="B1" sqref="B1"/>
      <selection pane="bottomLeft" activeCell="A2" sqref="A2"/>
      <selection pane="bottomRight" activeCell="AF161" sqref="AF161:AH161"/>
    </sheetView>
  </sheetViews>
  <sheetFormatPr defaultRowHeight="14" x14ac:dyDescent="0.3"/>
  <cols>
    <col min="1" max="1" width="14.08203125" customWidth="1"/>
    <col min="2" max="2" width="15.58203125" style="10" customWidth="1"/>
    <col min="3" max="3" width="11.25" style="10" customWidth="1"/>
    <col min="5" max="5" width="9.83203125" style="10" customWidth="1"/>
    <col min="6" max="6" width="12.58203125" customWidth="1"/>
    <col min="7" max="7" width="11.6640625" bestFit="1" customWidth="1"/>
    <col min="13" max="13" width="14.08203125" style="27" customWidth="1"/>
    <col min="23" max="23" width="13.08203125" customWidth="1"/>
    <col min="28" max="28" width="8.6640625" style="10"/>
    <col min="31" max="31" width="13.4140625" customWidth="1"/>
  </cols>
  <sheetData>
    <row r="1" spans="1:36" ht="28" x14ac:dyDescent="0.3">
      <c r="A1" s="1" t="s">
        <v>0</v>
      </c>
      <c r="B1" s="18" t="s">
        <v>767</v>
      </c>
      <c r="C1" s="19" t="s">
        <v>768</v>
      </c>
      <c r="D1" s="18" t="s">
        <v>769</v>
      </c>
      <c r="E1" s="23" t="s">
        <v>482</v>
      </c>
      <c r="F1" s="23" t="s">
        <v>483</v>
      </c>
      <c r="G1" s="23" t="s">
        <v>484</v>
      </c>
      <c r="M1" s="1" t="s">
        <v>0</v>
      </c>
      <c r="N1" s="18" t="s">
        <v>476</v>
      </c>
      <c r="O1" s="19" t="s">
        <v>485</v>
      </c>
      <c r="P1" s="18" t="s">
        <v>478</v>
      </c>
      <c r="Q1" s="23" t="s">
        <v>482</v>
      </c>
      <c r="R1" s="23" t="s">
        <v>483</v>
      </c>
      <c r="S1" s="23" t="s">
        <v>484</v>
      </c>
      <c r="V1" s="1" t="s">
        <v>0</v>
      </c>
      <c r="W1" s="19" t="s">
        <v>486</v>
      </c>
      <c r="X1" s="18" t="s">
        <v>487</v>
      </c>
      <c r="Y1" s="18" t="s">
        <v>478</v>
      </c>
      <c r="Z1" s="23" t="s">
        <v>482</v>
      </c>
      <c r="AA1" s="23" t="s">
        <v>483</v>
      </c>
      <c r="AB1" s="23" t="s">
        <v>484</v>
      </c>
      <c r="AD1" s="1" t="s">
        <v>0</v>
      </c>
      <c r="AE1" s="19" t="s">
        <v>488</v>
      </c>
      <c r="AF1" s="18" t="s">
        <v>487</v>
      </c>
      <c r="AG1" s="18" t="s">
        <v>478</v>
      </c>
      <c r="AH1" s="23" t="s">
        <v>482</v>
      </c>
      <c r="AI1" s="23" t="s">
        <v>483</v>
      </c>
      <c r="AJ1" s="23" t="s">
        <v>484</v>
      </c>
    </row>
    <row r="2" spans="1:36" x14ac:dyDescent="0.3">
      <c r="A2" t="s">
        <v>143</v>
      </c>
      <c r="B2" s="21">
        <v>1747195818.6794879</v>
      </c>
      <c r="C2" s="22">
        <v>1.8414319669751587E-5</v>
      </c>
      <c r="D2" s="22">
        <f>C2+0</f>
        <v>1.8414319669751587E-5</v>
      </c>
      <c r="E2" s="22">
        <f>D2+0</f>
        <v>1.8414319669751587E-5</v>
      </c>
      <c r="F2" s="24">
        <f>1/150</f>
        <v>6.6666666666666671E-3</v>
      </c>
      <c r="G2">
        <f>E2*F2/2</f>
        <v>6.1381065565838625E-8</v>
      </c>
      <c r="M2" s="27" t="s">
        <v>51</v>
      </c>
      <c r="N2" s="3">
        <v>3.3008579419999996E-5</v>
      </c>
      <c r="O2" s="20">
        <v>1.493066712654022E-8</v>
      </c>
      <c r="P2" s="20">
        <f>O2+0</f>
        <v>1.493066712654022E-8</v>
      </c>
      <c r="Q2" s="22">
        <f>P2+0</f>
        <v>1.493066712654022E-8</v>
      </c>
      <c r="R2" s="24">
        <f>1/150</f>
        <v>6.6666666666666671E-3</v>
      </c>
      <c r="S2">
        <f>Q2*R2/2</f>
        <v>4.9768890421800738E-11</v>
      </c>
      <c r="V2" t="s">
        <v>156</v>
      </c>
      <c r="W2" s="3">
        <v>0</v>
      </c>
      <c r="X2" s="20">
        <f>W2/W$152</f>
        <v>0</v>
      </c>
      <c r="Y2" s="20">
        <f>X2</f>
        <v>0</v>
      </c>
      <c r="Z2" s="22">
        <f>Y2+0</f>
        <v>0</v>
      </c>
      <c r="AA2" s="24">
        <f>1/150</f>
        <v>6.6666666666666671E-3</v>
      </c>
      <c r="AB2" s="10">
        <f>Z2*AA2/2</f>
        <v>0</v>
      </c>
      <c r="AD2" t="s">
        <v>109</v>
      </c>
      <c r="AE2" s="3">
        <v>0</v>
      </c>
      <c r="AF2" s="20">
        <f>AE2/AE$152</f>
        <v>0</v>
      </c>
      <c r="AG2" s="20">
        <f>AF2+0</f>
        <v>0</v>
      </c>
      <c r="AH2" s="22">
        <f>AG2+0</f>
        <v>0</v>
      </c>
      <c r="AI2" s="24">
        <f>1/150</f>
        <v>6.6666666666666671E-3</v>
      </c>
      <c r="AJ2">
        <f>AH2*AI2/2</f>
        <v>0</v>
      </c>
    </row>
    <row r="3" spans="1:36" x14ac:dyDescent="0.3">
      <c r="A3" t="s">
        <v>156</v>
      </c>
      <c r="B3" s="21">
        <v>2078640238.8818378</v>
      </c>
      <c r="C3" s="22">
        <v>2.1907530585843618E-5</v>
      </c>
      <c r="D3" s="22">
        <f>C3+D2</f>
        <v>4.0321850255595201E-5</v>
      </c>
      <c r="E3" s="22">
        <f>D3+D2</f>
        <v>5.8736169925346785E-5</v>
      </c>
      <c r="F3" s="24">
        <f>1/150</f>
        <v>6.6666666666666671E-3</v>
      </c>
      <c r="G3">
        <f>E3*F3/2</f>
        <v>1.9578723308448929E-7</v>
      </c>
      <c r="M3" s="27" t="s">
        <v>83</v>
      </c>
      <c r="N3" s="3">
        <v>1.2623913520000001E-4</v>
      </c>
      <c r="O3" s="20">
        <v>5.7101351804054911E-8</v>
      </c>
      <c r="P3" s="20">
        <f>O3+P2</f>
        <v>7.2032018930595135E-8</v>
      </c>
      <c r="Q3" s="22">
        <f>P3+P2</f>
        <v>8.6962686057135358E-8</v>
      </c>
      <c r="R3" s="24">
        <f>1/150</f>
        <v>6.6666666666666671E-3</v>
      </c>
      <c r="S3">
        <f>Q3*R3/2</f>
        <v>2.8987562019045122E-10</v>
      </c>
      <c r="V3" t="s">
        <v>150</v>
      </c>
      <c r="W3" s="3">
        <v>0</v>
      </c>
      <c r="X3" s="20">
        <f>W3/W$152</f>
        <v>0</v>
      </c>
      <c r="Y3" s="20">
        <f>X3+Y2</f>
        <v>0</v>
      </c>
      <c r="Z3" s="22">
        <f>Y3+Y2</f>
        <v>0</v>
      </c>
      <c r="AA3" s="24">
        <f t="shared" ref="AA3:AA66" si="0">1/150</f>
        <v>6.6666666666666671E-3</v>
      </c>
      <c r="AB3" s="10">
        <f>Z3*AA3/2</f>
        <v>0</v>
      </c>
      <c r="AD3" t="s">
        <v>50</v>
      </c>
      <c r="AE3" s="3">
        <v>0</v>
      </c>
      <c r="AF3" s="20">
        <f>AE3/AE$152</f>
        <v>0</v>
      </c>
      <c r="AG3" s="20">
        <f>AF3+AG2</f>
        <v>0</v>
      </c>
      <c r="AH3" s="22">
        <f>AG3+AG2</f>
        <v>0</v>
      </c>
      <c r="AI3" s="24">
        <f t="shared" ref="AI3:AI66" si="1">1/150</f>
        <v>6.6666666666666671E-3</v>
      </c>
      <c r="AJ3">
        <f>AH3*AI3/2</f>
        <v>0</v>
      </c>
    </row>
    <row r="4" spans="1:36" x14ac:dyDescent="0.3">
      <c r="A4" t="s">
        <v>145</v>
      </c>
      <c r="B4" s="21">
        <v>2316549022.352397</v>
      </c>
      <c r="C4" s="22">
        <v>2.4414936077678899E-5</v>
      </c>
      <c r="D4" s="22">
        <f t="shared" ref="D4:D67" si="2">C4+D3</f>
        <v>6.47367863332741E-5</v>
      </c>
      <c r="E4" s="22">
        <f t="shared" ref="E4:E67" si="3">D4+D3</f>
        <v>1.050586365888693E-4</v>
      </c>
      <c r="F4" s="24">
        <f>1/150</f>
        <v>6.6666666666666671E-3</v>
      </c>
      <c r="G4">
        <f>E4*F4/2</f>
        <v>3.5019545529623101E-7</v>
      </c>
      <c r="M4" s="27" t="s">
        <v>143</v>
      </c>
      <c r="N4" s="3">
        <v>3.7780074592E-4</v>
      </c>
      <c r="O4" s="20">
        <v>1.7088942561618785E-7</v>
      </c>
      <c r="P4" s="20">
        <f t="shared" ref="P4:P67" si="4">O4+P3</f>
        <v>2.4292144454678296E-7</v>
      </c>
      <c r="Q4" s="22">
        <f>P4+P3</f>
        <v>3.1495346347737809E-7</v>
      </c>
      <c r="R4" s="24">
        <f>1/150</f>
        <v>6.6666666666666671E-3</v>
      </c>
      <c r="S4">
        <f>Q4*R4/2</f>
        <v>1.049844878257927E-9</v>
      </c>
      <c r="V4" t="s">
        <v>147</v>
      </c>
      <c r="W4" s="3">
        <v>0</v>
      </c>
      <c r="X4" s="20">
        <f>W4/W$152</f>
        <v>0</v>
      </c>
      <c r="Y4" s="20">
        <f>X4+Y3</f>
        <v>0</v>
      </c>
      <c r="Z4" s="22">
        <f>Y4+Y3</f>
        <v>0</v>
      </c>
      <c r="AA4" s="24">
        <f t="shared" si="0"/>
        <v>6.6666666666666671E-3</v>
      </c>
      <c r="AB4" s="10">
        <f>Z4*AA4/2</f>
        <v>0</v>
      </c>
      <c r="AD4" t="s">
        <v>51</v>
      </c>
      <c r="AE4" s="3">
        <v>3.3008579419999996E-5</v>
      </c>
      <c r="AF4" s="20">
        <f>AE4/AE$152</f>
        <v>1.8389371670045813E-7</v>
      </c>
      <c r="AG4" s="20">
        <f>AF4+AG3</f>
        <v>1.8389371670045813E-7</v>
      </c>
      <c r="AH4" s="22">
        <f t="shared" ref="AH4:AH67" si="5">AG4+AG3</f>
        <v>1.8389371670045813E-7</v>
      </c>
      <c r="AI4" s="24">
        <f t="shared" si="1"/>
        <v>6.6666666666666671E-3</v>
      </c>
      <c r="AJ4">
        <f>AH4*AI4/2</f>
        <v>6.1297905566819383E-10</v>
      </c>
    </row>
    <row r="5" spans="1:36" x14ac:dyDescent="0.3">
      <c r="A5" t="s">
        <v>77</v>
      </c>
      <c r="B5" s="21">
        <v>2623588473.3599687</v>
      </c>
      <c r="C5" s="22">
        <v>2.7650934322198298E-5</v>
      </c>
      <c r="D5" s="22">
        <f t="shared" si="2"/>
        <v>9.2387720655472399E-5</v>
      </c>
      <c r="E5" s="22">
        <f t="shared" si="3"/>
        <v>1.571245069887465E-4</v>
      </c>
      <c r="F5" s="24">
        <f>1/150</f>
        <v>6.6666666666666671E-3</v>
      </c>
      <c r="G5">
        <f>E5*F5/2</f>
        <v>5.2374835662915504E-7</v>
      </c>
      <c r="M5" s="27" t="s">
        <v>130</v>
      </c>
      <c r="N5" s="3">
        <v>1.4029021224379998E-3</v>
      </c>
      <c r="O5" s="20">
        <v>6.3457031381808403E-7</v>
      </c>
      <c r="P5" s="20">
        <f t="shared" si="4"/>
        <v>8.7749175836486699E-7</v>
      </c>
      <c r="Q5" s="22">
        <f t="shared" ref="Q5:Q68" si="6">P5+P4</f>
        <v>1.1204132029116498E-6</v>
      </c>
      <c r="R5" s="24">
        <f>1/150</f>
        <v>6.6666666666666671E-3</v>
      </c>
      <c r="S5">
        <f>Q5*R5/2</f>
        <v>3.7347106763721661E-9</v>
      </c>
      <c r="V5" t="s">
        <v>143</v>
      </c>
      <c r="W5" s="3">
        <v>0</v>
      </c>
      <c r="X5" s="20">
        <f>W5/W$152</f>
        <v>0</v>
      </c>
      <c r="Y5" s="20">
        <f>X5+Y4</f>
        <v>0</v>
      </c>
      <c r="Z5" s="22">
        <f>Y5+Y4</f>
        <v>0</v>
      </c>
      <c r="AA5" s="24">
        <f t="shared" si="0"/>
        <v>6.6666666666666671E-3</v>
      </c>
      <c r="AB5" s="10">
        <f>Z5*AA5/2</f>
        <v>0</v>
      </c>
      <c r="AD5" t="s">
        <v>83</v>
      </c>
      <c r="AE5" s="3">
        <v>1.2623913520000001E-4</v>
      </c>
      <c r="AF5" s="20">
        <f>AE5/AE$152</f>
        <v>7.0328939242122754E-7</v>
      </c>
      <c r="AG5" s="20">
        <f t="shared" ref="AG5:AG68" si="7">AF5+AG4</f>
        <v>8.8718310912168569E-7</v>
      </c>
      <c r="AH5" s="22">
        <f t="shared" si="5"/>
        <v>1.0710768258221438E-6</v>
      </c>
      <c r="AI5" s="24">
        <f t="shared" si="1"/>
        <v>6.6666666666666671E-3</v>
      </c>
      <c r="AJ5">
        <f>AH5*AI5/2</f>
        <v>3.5702560860738131E-9</v>
      </c>
    </row>
    <row r="6" spans="1:36" x14ac:dyDescent="0.3">
      <c r="A6" t="s">
        <v>147</v>
      </c>
      <c r="B6" s="21">
        <v>3733092094.5398049</v>
      </c>
      <c r="C6" s="22">
        <v>3.9344388562830479E-5</v>
      </c>
      <c r="D6" s="22">
        <f t="shared" si="2"/>
        <v>1.3173210921830288E-4</v>
      </c>
      <c r="E6" s="22">
        <f t="shared" si="3"/>
        <v>2.2411982987377528E-4</v>
      </c>
      <c r="F6" s="24">
        <f>1/150</f>
        <v>6.6666666666666671E-3</v>
      </c>
      <c r="G6">
        <f>E6*F6/2</f>
        <v>7.4706609957925096E-7</v>
      </c>
      <c r="M6" s="27" t="s">
        <v>37</v>
      </c>
      <c r="N6" s="3">
        <v>1.6956746741059996E-3</v>
      </c>
      <c r="O6" s="20">
        <v>7.6699920320234282E-7</v>
      </c>
      <c r="P6" s="20">
        <f t="shared" si="4"/>
        <v>1.6444909615672099E-6</v>
      </c>
      <c r="Q6" s="22">
        <f t="shared" si="6"/>
        <v>2.521982719932077E-6</v>
      </c>
      <c r="R6" s="24">
        <f>1/150</f>
        <v>6.6666666666666671E-3</v>
      </c>
      <c r="S6">
        <f>Q6*R6/2</f>
        <v>8.4066090664402568E-9</v>
      </c>
      <c r="V6" t="s">
        <v>144</v>
      </c>
      <c r="W6" s="3">
        <v>0</v>
      </c>
      <c r="X6" s="20">
        <f>W6/W$152</f>
        <v>0</v>
      </c>
      <c r="Y6" s="20">
        <f>X6+Y5</f>
        <v>0</v>
      </c>
      <c r="Z6" s="22">
        <f>Y6+Y5</f>
        <v>0</v>
      </c>
      <c r="AA6" s="24">
        <f t="shared" si="0"/>
        <v>6.6666666666666671E-3</v>
      </c>
      <c r="AB6" s="10">
        <f>Z6*AA6/2</f>
        <v>0</v>
      </c>
      <c r="AD6" t="s">
        <v>143</v>
      </c>
      <c r="AE6" s="3">
        <v>3.7780074592E-4</v>
      </c>
      <c r="AF6" s="20">
        <f>AE6/AE$152</f>
        <v>2.1047613850761179E-6</v>
      </c>
      <c r="AG6" s="20">
        <f t="shared" si="7"/>
        <v>2.9919444941978037E-6</v>
      </c>
      <c r="AH6" s="22">
        <f t="shared" si="5"/>
        <v>3.8791276033194891E-6</v>
      </c>
      <c r="AI6" s="24">
        <f t="shared" si="1"/>
        <v>6.6666666666666671E-3</v>
      </c>
      <c r="AJ6">
        <f>AH6*AI6/2</f>
        <v>1.2930425344398298E-8</v>
      </c>
    </row>
    <row r="7" spans="1:36" x14ac:dyDescent="0.3">
      <c r="A7" t="s">
        <v>109</v>
      </c>
      <c r="B7" s="21">
        <v>3845591877.0947642</v>
      </c>
      <c r="C7" s="22">
        <v>4.0530063881301799E-5</v>
      </c>
      <c r="D7" s="22">
        <f t="shared" si="2"/>
        <v>1.7226217309960468E-4</v>
      </c>
      <c r="E7" s="22">
        <f t="shared" si="3"/>
        <v>3.0399428231790758E-4</v>
      </c>
      <c r="F7" s="24">
        <f>1/150</f>
        <v>6.6666666666666671E-3</v>
      </c>
      <c r="G7">
        <f>E7*F7/2</f>
        <v>1.0133142743930254E-6</v>
      </c>
      <c r="M7" s="27" t="s">
        <v>10</v>
      </c>
      <c r="N7" s="3">
        <v>1.7341622388E-3</v>
      </c>
      <c r="O7" s="20">
        <v>7.844081625412329E-7</v>
      </c>
      <c r="P7" s="20">
        <f t="shared" si="4"/>
        <v>2.4288991241084426E-6</v>
      </c>
      <c r="Q7" s="22">
        <f t="shared" si="6"/>
        <v>4.0733900856756529E-6</v>
      </c>
      <c r="R7" s="24">
        <f>1/150</f>
        <v>6.6666666666666671E-3</v>
      </c>
      <c r="S7">
        <f>Q7*R7/2</f>
        <v>1.3577966952252177E-8</v>
      </c>
      <c r="V7" t="s">
        <v>139</v>
      </c>
      <c r="W7" s="3">
        <v>0</v>
      </c>
      <c r="X7" s="20">
        <f>W7/W$152</f>
        <v>0</v>
      </c>
      <c r="Y7" s="20">
        <f t="shared" ref="Y7:Y70" si="8">X7+Y6</f>
        <v>0</v>
      </c>
      <c r="Z7" s="22">
        <f t="shared" ref="Z7:Z70" si="9">Y7+Y6</f>
        <v>0</v>
      </c>
      <c r="AA7" s="24">
        <f t="shared" si="0"/>
        <v>6.6666666666666671E-3</v>
      </c>
      <c r="AB7" s="10">
        <f>Z7*AA7/2</f>
        <v>0</v>
      </c>
      <c r="AD7" t="s">
        <v>130</v>
      </c>
      <c r="AE7" s="3">
        <v>1.4029021224379998E-3</v>
      </c>
      <c r="AF7" s="20">
        <f>AE7/AE$152</f>
        <v>7.8156918593646331E-6</v>
      </c>
      <c r="AG7" s="20">
        <f t="shared" si="7"/>
        <v>1.0807636353562436E-5</v>
      </c>
      <c r="AH7" s="22">
        <f t="shared" si="5"/>
        <v>1.379958084776024E-5</v>
      </c>
      <c r="AI7" s="24">
        <f t="shared" si="1"/>
        <v>6.6666666666666671E-3</v>
      </c>
      <c r="AJ7">
        <f>AH7*AI7/2</f>
        <v>4.5998602825867466E-8</v>
      </c>
    </row>
    <row r="8" spans="1:36" x14ac:dyDescent="0.3">
      <c r="A8" t="s">
        <v>91</v>
      </c>
      <c r="B8" s="21">
        <v>4597250505.9212961</v>
      </c>
      <c r="C8" s="22">
        <v>4.8452062163211613E-5</v>
      </c>
      <c r="D8" s="22">
        <f t="shared" si="2"/>
        <v>2.2071423526281628E-4</v>
      </c>
      <c r="E8" s="22">
        <f t="shared" si="3"/>
        <v>3.9297640836242099E-4</v>
      </c>
      <c r="F8" s="24">
        <f>1/150</f>
        <v>6.6666666666666671E-3</v>
      </c>
      <c r="G8">
        <f>E8*F8/2</f>
        <v>1.3099213612080701E-6</v>
      </c>
      <c r="M8" s="27" t="s">
        <v>111</v>
      </c>
      <c r="N8" s="3">
        <v>1.7509380870782E-3</v>
      </c>
      <c r="O8" s="20">
        <v>7.9199632933932851E-7</v>
      </c>
      <c r="P8" s="20">
        <f t="shared" si="4"/>
        <v>3.2208954534477711E-6</v>
      </c>
      <c r="Q8" s="22">
        <f t="shared" si="6"/>
        <v>5.6497945775562133E-6</v>
      </c>
      <c r="R8" s="24">
        <f>1/150</f>
        <v>6.6666666666666671E-3</v>
      </c>
      <c r="S8">
        <f>Q8*R8/2</f>
        <v>1.8832648591854046E-8</v>
      </c>
      <c r="V8" t="s">
        <v>145</v>
      </c>
      <c r="W8" s="3">
        <v>0</v>
      </c>
      <c r="X8" s="20">
        <f>W8/W$152</f>
        <v>0</v>
      </c>
      <c r="Y8" s="20">
        <f t="shared" si="8"/>
        <v>0</v>
      </c>
      <c r="Z8" s="22">
        <f t="shared" si="9"/>
        <v>0</v>
      </c>
      <c r="AA8" s="24">
        <f t="shared" si="0"/>
        <v>6.6666666666666671E-3</v>
      </c>
      <c r="AB8" s="10">
        <f>Z8*AA8/2</f>
        <v>0</v>
      </c>
      <c r="AD8" t="s">
        <v>154</v>
      </c>
      <c r="AE8" s="3">
        <v>1.4563936494399999E-3</v>
      </c>
      <c r="AF8" s="20">
        <f>AE8/AE$152</f>
        <v>8.113697889470267E-6</v>
      </c>
      <c r="AG8" s="20">
        <f t="shared" si="7"/>
        <v>1.8921334243032703E-5</v>
      </c>
      <c r="AH8" s="22">
        <f t="shared" si="5"/>
        <v>2.9728970596595138E-5</v>
      </c>
      <c r="AI8" s="24">
        <f t="shared" si="1"/>
        <v>6.6666666666666671E-3</v>
      </c>
      <c r="AJ8">
        <f>AH8*AI8/2</f>
        <v>9.9096568655317136E-8</v>
      </c>
    </row>
    <row r="9" spans="1:36" x14ac:dyDescent="0.3">
      <c r="A9" t="s">
        <v>105</v>
      </c>
      <c r="B9" s="21">
        <v>4802519614.2698231</v>
      </c>
      <c r="C9" s="22">
        <v>5.0615466481744985E-5</v>
      </c>
      <c r="D9" s="22">
        <f t="shared" si="2"/>
        <v>2.7132970174456128E-4</v>
      </c>
      <c r="E9" s="22">
        <f t="shared" si="3"/>
        <v>4.9204393700737756E-4</v>
      </c>
      <c r="F9" s="24">
        <f>1/150</f>
        <v>6.6666666666666671E-3</v>
      </c>
      <c r="G9">
        <f>E9*F9/2</f>
        <v>1.6401464566912587E-6</v>
      </c>
      <c r="M9" s="27" t="s">
        <v>76</v>
      </c>
      <c r="N9" s="3">
        <v>1.8050438412760001E-3</v>
      </c>
      <c r="O9" s="20">
        <v>8.1646981531637996E-7</v>
      </c>
      <c r="P9" s="20">
        <f t="shared" si="4"/>
        <v>4.0373652687641511E-6</v>
      </c>
      <c r="Q9" s="22">
        <f t="shared" si="6"/>
        <v>7.2582607222119226E-6</v>
      </c>
      <c r="R9" s="24">
        <f>1/150</f>
        <v>6.6666666666666671E-3</v>
      </c>
      <c r="S9">
        <f>Q9*R9/2</f>
        <v>2.4194202407373077E-8</v>
      </c>
      <c r="V9" t="s">
        <v>130</v>
      </c>
      <c r="W9" s="3">
        <v>0</v>
      </c>
      <c r="X9" s="20">
        <f>W9/W$152</f>
        <v>0</v>
      </c>
      <c r="Y9" s="20">
        <f t="shared" si="8"/>
        <v>0</v>
      </c>
      <c r="Z9" s="22">
        <f t="shared" si="9"/>
        <v>0</v>
      </c>
      <c r="AA9" s="24">
        <f t="shared" si="0"/>
        <v>6.6666666666666671E-3</v>
      </c>
      <c r="AB9" s="10">
        <f>Z9*AA9/2</f>
        <v>0</v>
      </c>
      <c r="AD9" t="s">
        <v>37</v>
      </c>
      <c r="AE9" s="3">
        <v>1.6956746741059996E-3</v>
      </c>
      <c r="AF9" s="20">
        <f>AE9/AE$152</f>
        <v>9.4467536505753193E-6</v>
      </c>
      <c r="AG9" s="20">
        <f t="shared" si="7"/>
        <v>2.8368087893608024E-5</v>
      </c>
      <c r="AH9" s="22">
        <f t="shared" si="5"/>
        <v>4.7289422136640728E-5</v>
      </c>
      <c r="AI9" s="24">
        <f t="shared" si="1"/>
        <v>6.6666666666666671E-3</v>
      </c>
      <c r="AJ9">
        <f>AH9*AI9/2</f>
        <v>1.5763140712213576E-7</v>
      </c>
    </row>
    <row r="10" spans="1:36" x14ac:dyDescent="0.3">
      <c r="A10" t="s">
        <v>64</v>
      </c>
      <c r="B10" s="21">
        <v>5324908668.4805889</v>
      </c>
      <c r="C10" s="22">
        <v>5.6121110974121629E-5</v>
      </c>
      <c r="D10" s="22">
        <f t="shared" si="2"/>
        <v>3.274508127186829E-4</v>
      </c>
      <c r="E10" s="22">
        <f t="shared" si="3"/>
        <v>5.9878051446324418E-4</v>
      </c>
      <c r="F10" s="24">
        <f>1/150</f>
        <v>6.6666666666666671E-3</v>
      </c>
      <c r="G10">
        <f>E10*F10/2</f>
        <v>1.9959350482108141E-6</v>
      </c>
      <c r="M10" s="27" t="s">
        <v>149</v>
      </c>
      <c r="N10" s="3">
        <v>1.99884979669E-3</v>
      </c>
      <c r="O10" s="20">
        <v>9.0413345483896588E-7</v>
      </c>
      <c r="P10" s="20">
        <f t="shared" si="4"/>
        <v>4.9414987236031169E-6</v>
      </c>
      <c r="Q10" s="22">
        <f t="shared" si="6"/>
        <v>8.9788639923672688E-6</v>
      </c>
      <c r="R10" s="24">
        <f>1/150</f>
        <v>6.6666666666666671E-3</v>
      </c>
      <c r="S10">
        <f>Q10*R10/2</f>
        <v>2.9929546641224228E-8</v>
      </c>
      <c r="V10" t="s">
        <v>136</v>
      </c>
      <c r="W10" s="3">
        <v>0</v>
      </c>
      <c r="X10" s="20">
        <f>W10/W$152</f>
        <v>0</v>
      </c>
      <c r="Y10" s="20">
        <f t="shared" si="8"/>
        <v>0</v>
      </c>
      <c r="Z10" s="22">
        <f t="shared" si="9"/>
        <v>0</v>
      </c>
      <c r="AA10" s="24">
        <f t="shared" si="0"/>
        <v>6.6666666666666671E-3</v>
      </c>
      <c r="AB10" s="10">
        <f>Z10*AA10/2</f>
        <v>0</v>
      </c>
      <c r="AD10" t="s">
        <v>10</v>
      </c>
      <c r="AE10" s="3">
        <v>1.7341622388E-3</v>
      </c>
      <c r="AF10" s="20">
        <f>AE10/AE$152</f>
        <v>9.6611712790431686E-6</v>
      </c>
      <c r="AG10" s="20">
        <f t="shared" si="7"/>
        <v>3.8029259172651193E-5</v>
      </c>
      <c r="AH10" s="22">
        <f t="shared" si="5"/>
        <v>6.6397347066259217E-5</v>
      </c>
      <c r="AI10" s="24">
        <f t="shared" si="1"/>
        <v>6.6666666666666671E-3</v>
      </c>
      <c r="AJ10">
        <f>AH10*AI10/2</f>
        <v>2.2132449022086406E-7</v>
      </c>
    </row>
    <row r="11" spans="1:36" x14ac:dyDescent="0.3">
      <c r="A11" t="s">
        <v>124</v>
      </c>
      <c r="B11" s="21">
        <v>8729112418.5200901</v>
      </c>
      <c r="C11" s="22">
        <v>9.1999228014014731E-5</v>
      </c>
      <c r="D11" s="22">
        <f t="shared" si="2"/>
        <v>4.1945004073269763E-4</v>
      </c>
      <c r="E11" s="22">
        <f t="shared" si="3"/>
        <v>7.4690085345138052E-4</v>
      </c>
      <c r="F11" s="24">
        <f>1/150</f>
        <v>6.6666666666666671E-3</v>
      </c>
      <c r="G11">
        <f>E11*F11/2</f>
        <v>2.4896695115046018E-6</v>
      </c>
      <c r="M11" s="27" t="s">
        <v>156</v>
      </c>
      <c r="N11" s="3">
        <v>2.5132179435399999E-3</v>
      </c>
      <c r="O11" s="20">
        <v>1.1367959842800074E-6</v>
      </c>
      <c r="P11" s="20">
        <f t="shared" si="4"/>
        <v>6.0782947078831245E-6</v>
      </c>
      <c r="Q11" s="22">
        <f t="shared" si="6"/>
        <v>1.101979343148624E-5</v>
      </c>
      <c r="R11" s="24">
        <f>1/150</f>
        <v>6.6666666666666671E-3</v>
      </c>
      <c r="S11">
        <f>Q11*R11/2</f>
        <v>3.6732644771620804E-8</v>
      </c>
      <c r="V11" t="s">
        <v>149</v>
      </c>
      <c r="W11" s="3">
        <v>0</v>
      </c>
      <c r="X11" s="20">
        <f>W11/W$152</f>
        <v>0</v>
      </c>
      <c r="Y11" s="20">
        <f t="shared" si="8"/>
        <v>0</v>
      </c>
      <c r="Z11" s="22">
        <f t="shared" si="9"/>
        <v>0</v>
      </c>
      <c r="AA11" s="24">
        <f t="shared" si="0"/>
        <v>6.6666666666666671E-3</v>
      </c>
      <c r="AB11" s="10">
        <f>Z11*AA11/2</f>
        <v>0</v>
      </c>
      <c r="AD11" t="s">
        <v>111</v>
      </c>
      <c r="AE11" s="3">
        <v>1.7509380870782E-3</v>
      </c>
      <c r="AF11" s="20">
        <f>AE11/AE$152</f>
        <v>9.7546310142055976E-6</v>
      </c>
      <c r="AG11" s="20">
        <f t="shared" si="7"/>
        <v>4.7783890186856791E-5</v>
      </c>
      <c r="AH11" s="22">
        <f t="shared" si="5"/>
        <v>8.5813149359507984E-5</v>
      </c>
      <c r="AI11" s="24">
        <f t="shared" si="1"/>
        <v>6.6666666666666671E-3</v>
      </c>
      <c r="AJ11">
        <f>AH11*AI11/2</f>
        <v>2.8604383119835999E-7</v>
      </c>
    </row>
    <row r="12" spans="1:36" x14ac:dyDescent="0.3">
      <c r="A12" t="s">
        <v>139</v>
      </c>
      <c r="B12" s="21">
        <v>8858969845.088459</v>
      </c>
      <c r="C12" s="22">
        <v>9.336784173135324E-5</v>
      </c>
      <c r="D12" s="22">
        <f t="shared" si="2"/>
        <v>5.1281788246405088E-4</v>
      </c>
      <c r="E12" s="22">
        <f t="shared" si="3"/>
        <v>9.3226792319674851E-4</v>
      </c>
      <c r="F12" s="24">
        <f>1/150</f>
        <v>6.6666666666666671E-3</v>
      </c>
      <c r="G12">
        <f>E12*F12/2</f>
        <v>3.107559743989162E-6</v>
      </c>
      <c r="M12" s="27" t="s">
        <v>77</v>
      </c>
      <c r="N12" s="3">
        <v>2.7128449634000002E-3</v>
      </c>
      <c r="O12" s="20">
        <v>1.2270926476131457E-6</v>
      </c>
      <c r="P12" s="20">
        <f t="shared" si="4"/>
        <v>7.3053873554962702E-6</v>
      </c>
      <c r="Q12" s="22">
        <f t="shared" si="6"/>
        <v>1.3383682063379395E-5</v>
      </c>
      <c r="R12" s="24">
        <f>1/150</f>
        <v>6.6666666666666671E-3</v>
      </c>
      <c r="S12">
        <f>Q12*R12/2</f>
        <v>4.4612273544597988E-8</v>
      </c>
      <c r="V12" t="s">
        <v>128</v>
      </c>
      <c r="W12" s="3">
        <v>0</v>
      </c>
      <c r="X12" s="20">
        <f>W12/W$152</f>
        <v>0</v>
      </c>
      <c r="Y12" s="20">
        <f t="shared" si="8"/>
        <v>0</v>
      </c>
      <c r="Z12" s="22">
        <f t="shared" si="9"/>
        <v>0</v>
      </c>
      <c r="AA12" s="24">
        <f t="shared" si="0"/>
        <v>6.6666666666666671E-3</v>
      </c>
      <c r="AB12" s="10">
        <f>Z12*AA12/2</f>
        <v>0</v>
      </c>
      <c r="AD12" t="s">
        <v>76</v>
      </c>
      <c r="AE12" s="3">
        <v>1.8050438412760001E-3</v>
      </c>
      <c r="AF12" s="20">
        <f>AE12/AE$152</f>
        <v>1.0056058958368693E-5</v>
      </c>
      <c r="AG12" s="20">
        <f t="shared" si="7"/>
        <v>5.7839949145225482E-5</v>
      </c>
      <c r="AH12" s="22">
        <f t="shared" si="5"/>
        <v>1.0562383933208227E-4</v>
      </c>
      <c r="AI12" s="24">
        <f t="shared" si="1"/>
        <v>6.6666666666666671E-3</v>
      </c>
      <c r="AJ12">
        <f>AH12*AI12/2</f>
        <v>3.5207946444027425E-7</v>
      </c>
    </row>
    <row r="13" spans="1:36" x14ac:dyDescent="0.3">
      <c r="A13" t="s">
        <v>154</v>
      </c>
      <c r="B13" s="21">
        <v>8882404280.6420708</v>
      </c>
      <c r="C13" s="22">
        <v>9.361482560285228E-5</v>
      </c>
      <c r="D13" s="22">
        <f t="shared" si="2"/>
        <v>6.0643270806690313E-4</v>
      </c>
      <c r="E13" s="22">
        <f t="shared" si="3"/>
        <v>1.119250590530954E-3</v>
      </c>
      <c r="F13" s="24">
        <f>1/150</f>
        <v>6.6666666666666671E-3</v>
      </c>
      <c r="G13">
        <f>E13*F13/2</f>
        <v>3.730835301769847E-6</v>
      </c>
      <c r="M13" s="27" t="s">
        <v>145</v>
      </c>
      <c r="N13" s="3">
        <v>3.6781384027080003E-3</v>
      </c>
      <c r="O13" s="20">
        <v>1.6637207992932615E-6</v>
      </c>
      <c r="P13" s="20">
        <f t="shared" si="4"/>
        <v>8.9691081547895321E-6</v>
      </c>
      <c r="Q13" s="22">
        <f t="shared" si="6"/>
        <v>1.6274495510285801E-5</v>
      </c>
      <c r="R13" s="24">
        <f>1/150</f>
        <v>6.6666666666666671E-3</v>
      </c>
      <c r="S13">
        <f>Q13*R13/2</f>
        <v>5.4248318367619339E-8</v>
      </c>
      <c r="V13" t="s">
        <v>131</v>
      </c>
      <c r="W13" s="3">
        <v>0</v>
      </c>
      <c r="X13" s="20">
        <f>W13/W$152</f>
        <v>0</v>
      </c>
      <c r="Y13" s="20">
        <f t="shared" si="8"/>
        <v>0</v>
      </c>
      <c r="Z13" s="22">
        <f t="shared" si="9"/>
        <v>0</v>
      </c>
      <c r="AA13" s="24">
        <f t="shared" si="0"/>
        <v>6.6666666666666671E-3</v>
      </c>
      <c r="AB13" s="10">
        <f>Z13*AA13/2</f>
        <v>0</v>
      </c>
      <c r="AD13" t="s">
        <v>149</v>
      </c>
      <c r="AE13" s="3">
        <v>1.99884979669E-3</v>
      </c>
      <c r="AF13" s="20">
        <f>AE13/AE$152</f>
        <v>1.113576908482659E-5</v>
      </c>
      <c r="AG13" s="20">
        <f t="shared" si="7"/>
        <v>6.8975718230052075E-5</v>
      </c>
      <c r="AH13" s="22">
        <f t="shared" si="5"/>
        <v>1.2681566737527756E-4</v>
      </c>
      <c r="AI13" s="24">
        <f t="shared" si="1"/>
        <v>6.6666666666666671E-3</v>
      </c>
      <c r="AJ13">
        <f>AH13*AI13/2</f>
        <v>4.2271889125092522E-7</v>
      </c>
    </row>
    <row r="14" spans="1:36" x14ac:dyDescent="0.3">
      <c r="A14" t="s">
        <v>81</v>
      </c>
      <c r="B14" s="21">
        <v>9252510447.170393</v>
      </c>
      <c r="C14" s="22">
        <v>9.7515506447744491E-5</v>
      </c>
      <c r="D14" s="22">
        <f t="shared" si="2"/>
        <v>7.0394821451464761E-4</v>
      </c>
      <c r="E14" s="22">
        <f t="shared" si="3"/>
        <v>1.3103809225815507E-3</v>
      </c>
      <c r="F14" s="24">
        <f>1/150</f>
        <v>6.6666666666666671E-3</v>
      </c>
      <c r="G14">
        <f>E14*F14/2</f>
        <v>4.3679364086051695E-6</v>
      </c>
      <c r="M14" s="27" t="s">
        <v>109</v>
      </c>
      <c r="N14" s="3">
        <v>3.7591635159999995E-3</v>
      </c>
      <c r="O14" s="20">
        <v>1.700370634478839E-6</v>
      </c>
      <c r="P14" s="20">
        <f t="shared" si="4"/>
        <v>1.0669478789268371E-5</v>
      </c>
      <c r="Q14" s="22">
        <f t="shared" si="6"/>
        <v>1.9638586944057902E-5</v>
      </c>
      <c r="R14" s="24">
        <f>1/150</f>
        <v>6.6666666666666671E-3</v>
      </c>
      <c r="S14">
        <f>Q14*R14/2</f>
        <v>6.5461956480193016E-8</v>
      </c>
      <c r="V14" t="s">
        <v>123</v>
      </c>
      <c r="W14" s="3">
        <v>0</v>
      </c>
      <c r="X14" s="20">
        <f>W14/W$152</f>
        <v>0</v>
      </c>
      <c r="Y14" s="20">
        <f t="shared" si="8"/>
        <v>0</v>
      </c>
      <c r="Z14" s="22">
        <f t="shared" si="9"/>
        <v>0</v>
      </c>
      <c r="AA14" s="24">
        <f t="shared" si="0"/>
        <v>6.6666666666666671E-3</v>
      </c>
      <c r="AB14" s="10">
        <f>Z14*AA14/2</f>
        <v>0</v>
      </c>
      <c r="AD14" t="s">
        <v>91</v>
      </c>
      <c r="AE14" s="3">
        <v>2.2873672544E-3</v>
      </c>
      <c r="AF14" s="20">
        <f>AE14/AE$152</f>
        <v>1.2743125371086883E-5</v>
      </c>
      <c r="AG14" s="20">
        <f t="shared" si="7"/>
        <v>8.1718843601138956E-5</v>
      </c>
      <c r="AH14" s="22">
        <f t="shared" si="5"/>
        <v>1.5069456183119104E-4</v>
      </c>
      <c r="AI14" s="24">
        <f t="shared" si="1"/>
        <v>6.6666666666666671E-3</v>
      </c>
      <c r="AJ14">
        <f>AH14*AI14/2</f>
        <v>5.0231520610397016E-7</v>
      </c>
    </row>
    <row r="15" spans="1:36" x14ac:dyDescent="0.3">
      <c r="A15" t="s">
        <v>83</v>
      </c>
      <c r="B15" s="21">
        <v>9541952850.6271133</v>
      </c>
      <c r="C15" s="22">
        <v>1.0056604313415983E-4</v>
      </c>
      <c r="D15" s="22">
        <f t="shared" si="2"/>
        <v>8.0451425764880744E-4</v>
      </c>
      <c r="E15" s="22">
        <f t="shared" si="3"/>
        <v>1.5084624721634549E-3</v>
      </c>
      <c r="F15" s="24">
        <f>1/150</f>
        <v>6.6666666666666671E-3</v>
      </c>
      <c r="G15">
        <f>E15*F15/2</f>
        <v>5.0282082405448504E-6</v>
      </c>
      <c r="M15" s="27" t="s">
        <v>118</v>
      </c>
      <c r="N15" s="3">
        <v>3.8861745811419996E-3</v>
      </c>
      <c r="O15" s="20">
        <v>1.757821150930738E-6</v>
      </c>
      <c r="P15" s="20">
        <f t="shared" si="4"/>
        <v>1.242729994019911E-5</v>
      </c>
      <c r="Q15" s="22">
        <f t="shared" si="6"/>
        <v>2.3096778729467483E-5</v>
      </c>
      <c r="R15" s="24">
        <f>1/150</f>
        <v>6.6666666666666671E-3</v>
      </c>
      <c r="S15">
        <f>Q15*R15/2</f>
        <v>7.6989262431558283E-8</v>
      </c>
      <c r="V15" t="s">
        <v>127</v>
      </c>
      <c r="W15" s="3">
        <v>0</v>
      </c>
      <c r="X15" s="20">
        <f>W15/W$152</f>
        <v>0</v>
      </c>
      <c r="Y15" s="20">
        <f t="shared" si="8"/>
        <v>0</v>
      </c>
      <c r="Z15" s="22">
        <f t="shared" si="9"/>
        <v>0</v>
      </c>
      <c r="AA15" s="24">
        <f t="shared" si="0"/>
        <v>6.6666666666666671E-3</v>
      </c>
      <c r="AB15" s="10">
        <f>Z15*AA15/2</f>
        <v>0</v>
      </c>
      <c r="AD15" t="s">
        <v>124</v>
      </c>
      <c r="AE15" s="3">
        <v>2.3869954006400002E-3</v>
      </c>
      <c r="AF15" s="20">
        <f>AE15/AE$152</f>
        <v>1.3298162589348681E-5</v>
      </c>
      <c r="AG15" s="20">
        <f t="shared" si="7"/>
        <v>9.5017006190487632E-5</v>
      </c>
      <c r="AH15" s="22">
        <f t="shared" si="5"/>
        <v>1.7673584979162657E-4</v>
      </c>
      <c r="AI15" s="24">
        <f t="shared" si="1"/>
        <v>6.6666666666666671E-3</v>
      </c>
      <c r="AJ15">
        <f>AH15*AI15/2</f>
        <v>5.8911949930542198E-7</v>
      </c>
    </row>
    <row r="16" spans="1:36" x14ac:dyDescent="0.3">
      <c r="A16" t="s">
        <v>149</v>
      </c>
      <c r="B16" s="21">
        <v>9828485690.6466026</v>
      </c>
      <c r="C16" s="22">
        <v>1.035859148941486E-4</v>
      </c>
      <c r="D16" s="22">
        <f t="shared" si="2"/>
        <v>9.0810017254295606E-4</v>
      </c>
      <c r="E16" s="22">
        <f t="shared" si="3"/>
        <v>1.7126144301917636E-3</v>
      </c>
      <c r="F16" s="24">
        <f>1/150</f>
        <v>6.6666666666666671E-3</v>
      </c>
      <c r="G16">
        <f>E16*F16/2</f>
        <v>5.7087147673058788E-6</v>
      </c>
      <c r="M16" s="27" t="s">
        <v>147</v>
      </c>
      <c r="N16" s="3">
        <v>6.323201219327999E-3</v>
      </c>
      <c r="O16" s="20">
        <v>2.8601537611981121E-6</v>
      </c>
      <c r="P16" s="20">
        <f t="shared" si="4"/>
        <v>1.5287453701397223E-5</v>
      </c>
      <c r="Q16" s="22">
        <f t="shared" si="6"/>
        <v>2.7714753641596333E-5</v>
      </c>
      <c r="R16" s="24">
        <f>1/150</f>
        <v>6.6666666666666671E-3</v>
      </c>
      <c r="S16">
        <f>Q16*R16/2</f>
        <v>9.2382512138654454E-8</v>
      </c>
      <c r="V16" t="s">
        <v>137</v>
      </c>
      <c r="W16" s="3">
        <v>0</v>
      </c>
      <c r="X16" s="20">
        <f>W16/W$152</f>
        <v>0</v>
      </c>
      <c r="Y16" s="20">
        <f t="shared" si="8"/>
        <v>0</v>
      </c>
      <c r="Z16" s="22">
        <f t="shared" si="9"/>
        <v>0</v>
      </c>
      <c r="AA16" s="24">
        <f t="shared" si="0"/>
        <v>6.6666666666666671E-3</v>
      </c>
      <c r="AB16" s="10">
        <f>Z16*AA16/2</f>
        <v>0</v>
      </c>
      <c r="AD16" t="s">
        <v>156</v>
      </c>
      <c r="AE16" s="3">
        <v>2.5132179435399999E-3</v>
      </c>
      <c r="AF16" s="20">
        <f>AE16/AE$152</f>
        <v>1.4001359544598443E-5</v>
      </c>
      <c r="AG16" s="20">
        <f t="shared" si="7"/>
        <v>1.0901836573508608E-4</v>
      </c>
      <c r="AH16" s="22">
        <f t="shared" si="5"/>
        <v>2.0403537192557371E-4</v>
      </c>
      <c r="AI16" s="24">
        <f t="shared" si="1"/>
        <v>6.6666666666666671E-3</v>
      </c>
      <c r="AJ16">
        <f>AH16*AI16/2</f>
        <v>6.8011790641857902E-7</v>
      </c>
    </row>
    <row r="17" spans="1:36" x14ac:dyDescent="0.3">
      <c r="A17" t="s">
        <v>123</v>
      </c>
      <c r="B17" s="21">
        <v>10050558458.413731</v>
      </c>
      <c r="C17" s="22">
        <v>1.0592641897038951E-4</v>
      </c>
      <c r="D17" s="22">
        <f t="shared" si="2"/>
        <v>1.0140265915133456E-3</v>
      </c>
      <c r="E17" s="22">
        <f t="shared" si="3"/>
        <v>1.9221267640563016E-3</v>
      </c>
      <c r="F17" s="24">
        <f>1/150</f>
        <v>6.6666666666666671E-3</v>
      </c>
      <c r="G17">
        <f>E17*F17/2</f>
        <v>6.4070892135210055E-6</v>
      </c>
      <c r="M17" s="27" t="s">
        <v>152</v>
      </c>
      <c r="N17" s="3">
        <v>8.3445324129000006E-3</v>
      </c>
      <c r="O17" s="20">
        <v>3.7744561557273886E-6</v>
      </c>
      <c r="P17" s="20">
        <f t="shared" si="4"/>
        <v>1.9061909857124612E-5</v>
      </c>
      <c r="Q17" s="22">
        <f t="shared" si="6"/>
        <v>3.4349363558521835E-5</v>
      </c>
      <c r="R17" s="24">
        <f>1/150</f>
        <v>6.6666666666666671E-3</v>
      </c>
      <c r="S17">
        <f>Q17*R17/2</f>
        <v>1.1449787852840613E-7</v>
      </c>
      <c r="V17" t="s">
        <v>118</v>
      </c>
      <c r="W17" s="3">
        <v>0</v>
      </c>
      <c r="X17" s="20">
        <f>W17/W$152</f>
        <v>0</v>
      </c>
      <c r="Y17" s="20">
        <f t="shared" si="8"/>
        <v>0</v>
      </c>
      <c r="Z17" s="22">
        <f t="shared" si="9"/>
        <v>0</v>
      </c>
      <c r="AA17" s="24">
        <f t="shared" si="0"/>
        <v>6.6666666666666671E-3</v>
      </c>
      <c r="AB17" s="10">
        <f>Z17*AA17/2</f>
        <v>0</v>
      </c>
      <c r="AD17" t="s">
        <v>77</v>
      </c>
      <c r="AE17" s="3">
        <v>2.7128449634000002E-3</v>
      </c>
      <c r="AF17" s="20">
        <f>AE17/AE$152</f>
        <v>1.5113499336159688E-5</v>
      </c>
      <c r="AG17" s="20">
        <f t="shared" si="7"/>
        <v>1.2413186507124576E-4</v>
      </c>
      <c r="AH17" s="22">
        <f t="shared" si="5"/>
        <v>2.3315023080633184E-4</v>
      </c>
      <c r="AI17" s="24">
        <f t="shared" si="1"/>
        <v>6.6666666666666671E-3</v>
      </c>
      <c r="AJ17">
        <f>AH17*AI17/2</f>
        <v>7.7716743602110614E-7</v>
      </c>
    </row>
    <row r="18" spans="1:36" x14ac:dyDescent="0.3">
      <c r="A18" t="s">
        <v>118</v>
      </c>
      <c r="B18" s="21">
        <v>10636718505.673967</v>
      </c>
      <c r="C18" s="22">
        <v>1.1210416869511384E-4</v>
      </c>
      <c r="D18" s="22">
        <f t="shared" si="2"/>
        <v>1.1261307602084595E-3</v>
      </c>
      <c r="E18" s="22">
        <f t="shared" si="3"/>
        <v>2.1401573517218051E-3</v>
      </c>
      <c r="F18" s="24">
        <f>1/150</f>
        <v>6.6666666666666671E-3</v>
      </c>
      <c r="G18">
        <f>E18*F18/2</f>
        <v>7.1338578390726844E-6</v>
      </c>
      <c r="M18" s="27" t="s">
        <v>105</v>
      </c>
      <c r="N18" s="3">
        <v>8.4589333311759982E-3</v>
      </c>
      <c r="O18" s="20">
        <v>3.826202764026276E-6</v>
      </c>
      <c r="P18" s="20">
        <f t="shared" si="4"/>
        <v>2.2888112621150888E-5</v>
      </c>
      <c r="Q18" s="22">
        <f t="shared" si="6"/>
        <v>4.1950022478275497E-5</v>
      </c>
      <c r="R18" s="24">
        <f>1/150</f>
        <v>6.6666666666666671E-3</v>
      </c>
      <c r="S18">
        <f>Q18*R18/2</f>
        <v>1.3983340826091834E-7</v>
      </c>
      <c r="V18" t="s">
        <v>115</v>
      </c>
      <c r="W18" s="3">
        <v>0</v>
      </c>
      <c r="X18" s="20">
        <f>W18/W$152</f>
        <v>0</v>
      </c>
      <c r="Y18" s="20">
        <f t="shared" si="8"/>
        <v>0</v>
      </c>
      <c r="Z18" s="22">
        <f t="shared" si="9"/>
        <v>0</v>
      </c>
      <c r="AA18" s="24">
        <f t="shared" si="0"/>
        <v>6.6666666666666671E-3</v>
      </c>
      <c r="AB18" s="10">
        <f>Z18*AA18/2</f>
        <v>0</v>
      </c>
      <c r="AD18" t="s">
        <v>70</v>
      </c>
      <c r="AE18" s="3">
        <v>3.0058658577660001E-3</v>
      </c>
      <c r="AF18" s="20">
        <f>AE18/AE$152</f>
        <v>1.6745944666515442E-5</v>
      </c>
      <c r="AG18" s="20">
        <f t="shared" si="7"/>
        <v>1.4087780973776122E-4</v>
      </c>
      <c r="AH18" s="22">
        <f t="shared" si="5"/>
        <v>2.6500967480900698E-4</v>
      </c>
      <c r="AI18" s="24">
        <f t="shared" si="1"/>
        <v>6.6666666666666671E-3</v>
      </c>
      <c r="AJ18">
        <f>AH18*AI18/2</f>
        <v>8.8336558269668996E-7</v>
      </c>
    </row>
    <row r="19" spans="1:36" x14ac:dyDescent="0.3">
      <c r="A19" t="s">
        <v>152</v>
      </c>
      <c r="B19" s="21">
        <v>11952668098.89068</v>
      </c>
      <c r="C19" s="22">
        <v>1.2597343064028416E-4</v>
      </c>
      <c r="D19" s="22">
        <f t="shared" si="2"/>
        <v>1.2521041908487437E-3</v>
      </c>
      <c r="E19" s="22">
        <f t="shared" si="3"/>
        <v>2.3782349510572034E-3</v>
      </c>
      <c r="F19" s="24">
        <f>1/150</f>
        <v>6.6666666666666671E-3</v>
      </c>
      <c r="G19">
        <f>E19*F19/2</f>
        <v>7.9274498368573444E-6</v>
      </c>
      <c r="M19" s="27" t="s">
        <v>127</v>
      </c>
      <c r="N19" s="3">
        <v>9.3443605584960007E-3</v>
      </c>
      <c r="O19" s="20">
        <v>4.2267052827102625E-6</v>
      </c>
      <c r="P19" s="20">
        <f t="shared" si="4"/>
        <v>2.711481790386115E-5</v>
      </c>
      <c r="Q19" s="22">
        <f t="shared" si="6"/>
        <v>5.0002930525012038E-5</v>
      </c>
      <c r="R19" s="24">
        <f>1/150</f>
        <v>6.6666666666666671E-3</v>
      </c>
      <c r="S19">
        <f>Q19*R19/2</f>
        <v>1.6667643508337347E-7</v>
      </c>
      <c r="V19" t="s">
        <v>111</v>
      </c>
      <c r="W19" s="3">
        <v>0</v>
      </c>
      <c r="X19" s="20">
        <f>W19/W$152</f>
        <v>0</v>
      </c>
      <c r="Y19" s="20">
        <f t="shared" si="8"/>
        <v>0</v>
      </c>
      <c r="Z19" s="22">
        <f t="shared" si="9"/>
        <v>0</v>
      </c>
      <c r="AA19" s="24">
        <f t="shared" si="0"/>
        <v>6.6666666666666671E-3</v>
      </c>
      <c r="AB19" s="10">
        <f>Z19*AA19/2</f>
        <v>0</v>
      </c>
      <c r="AD19" t="s">
        <v>141</v>
      </c>
      <c r="AE19" s="3">
        <v>3.4116591008799997E-3</v>
      </c>
      <c r="AF19" s="20">
        <f>AE19/AE$152</f>
        <v>1.9006654730364838E-5</v>
      </c>
      <c r="AG19" s="20">
        <f t="shared" si="7"/>
        <v>1.5988446446812605E-4</v>
      </c>
      <c r="AH19" s="22">
        <f t="shared" si="5"/>
        <v>3.0076227420588726E-4</v>
      </c>
      <c r="AI19" s="24">
        <f t="shared" si="1"/>
        <v>6.6666666666666671E-3</v>
      </c>
      <c r="AJ19">
        <f>AH19*AI19/2</f>
        <v>1.0025409140196242E-6</v>
      </c>
    </row>
    <row r="20" spans="1:36" x14ac:dyDescent="0.3">
      <c r="A20" t="s">
        <v>69</v>
      </c>
      <c r="B20" s="21">
        <v>12093396439.500017</v>
      </c>
      <c r="C20" s="22">
        <v>1.2745661679656317E-4</v>
      </c>
      <c r="D20" s="22">
        <f t="shared" si="2"/>
        <v>1.3795608076453069E-3</v>
      </c>
      <c r="E20" s="22">
        <f t="shared" si="3"/>
        <v>2.6316649984940506E-3</v>
      </c>
      <c r="F20" s="24">
        <f>1/150</f>
        <v>6.6666666666666671E-3</v>
      </c>
      <c r="G20">
        <f>E20*F20/2</f>
        <v>8.7722166616468365E-6</v>
      </c>
      <c r="M20" s="27" t="s">
        <v>64</v>
      </c>
      <c r="N20" s="3">
        <v>9.4957288525479994E-3</v>
      </c>
      <c r="O20" s="20">
        <v>4.2951732280661082E-6</v>
      </c>
      <c r="P20" s="20">
        <f t="shared" si="4"/>
        <v>3.140999113192726E-5</v>
      </c>
      <c r="Q20" s="22">
        <f t="shared" si="6"/>
        <v>5.8524809035788406E-5</v>
      </c>
      <c r="R20" s="24">
        <f>1/150</f>
        <v>6.6666666666666671E-3</v>
      </c>
      <c r="S20">
        <f>Q20*R20/2</f>
        <v>1.9508269678596138E-7</v>
      </c>
      <c r="V20" t="s">
        <v>105</v>
      </c>
      <c r="W20" s="3">
        <v>0</v>
      </c>
      <c r="X20" s="20">
        <f>W20/W$152</f>
        <v>0</v>
      </c>
      <c r="Y20" s="20">
        <f t="shared" si="8"/>
        <v>0</v>
      </c>
      <c r="Z20" s="22">
        <f t="shared" si="9"/>
        <v>0</v>
      </c>
      <c r="AA20" s="24">
        <f t="shared" si="0"/>
        <v>6.6666666666666671E-3</v>
      </c>
      <c r="AB20" s="10">
        <f>Z20*AA20/2</f>
        <v>0</v>
      </c>
      <c r="AD20" t="s">
        <v>145</v>
      </c>
      <c r="AE20" s="3">
        <v>3.6781384027080003E-3</v>
      </c>
      <c r="AF20" s="20">
        <f>AE20/AE$152</f>
        <v>2.049123450016864E-5</v>
      </c>
      <c r="AG20" s="20">
        <f t="shared" si="7"/>
        <v>1.8037569896829468E-4</v>
      </c>
      <c r="AH20" s="22">
        <f t="shared" si="5"/>
        <v>3.4026016343642075E-4</v>
      </c>
      <c r="AI20" s="24">
        <f t="shared" si="1"/>
        <v>6.6666666666666671E-3</v>
      </c>
      <c r="AJ20">
        <f>AH20*AI20/2</f>
        <v>1.1342005447880692E-6</v>
      </c>
    </row>
    <row r="21" spans="1:36" x14ac:dyDescent="0.3">
      <c r="A21" t="s">
        <v>100</v>
      </c>
      <c r="B21" s="21">
        <v>12224610619.857546</v>
      </c>
      <c r="C21" s="22">
        <v>1.2883952982581604E-4</v>
      </c>
      <c r="D21" s="22">
        <f t="shared" si="2"/>
        <v>1.5084003374711229E-3</v>
      </c>
      <c r="E21" s="22">
        <f t="shared" si="3"/>
        <v>2.8879611451164298E-3</v>
      </c>
      <c r="F21" s="24">
        <f>1/150</f>
        <v>6.6666666666666671E-3</v>
      </c>
      <c r="G21">
        <f>E21*F21/2</f>
        <v>9.6265371503881007E-6</v>
      </c>
      <c r="M21" s="27" t="s">
        <v>132</v>
      </c>
      <c r="N21" s="3">
        <v>9.5538672441920006E-3</v>
      </c>
      <c r="O21" s="20">
        <v>4.3214707842821466E-6</v>
      </c>
      <c r="P21" s="20">
        <f t="shared" si="4"/>
        <v>3.5731461916209405E-5</v>
      </c>
      <c r="Q21" s="22">
        <f t="shared" si="6"/>
        <v>6.7141453048136658E-5</v>
      </c>
      <c r="R21" s="24">
        <f>1/150</f>
        <v>6.6666666666666671E-3</v>
      </c>
      <c r="S21">
        <f>Q21*R21/2</f>
        <v>2.2380484349378887E-7</v>
      </c>
      <c r="V21" t="s">
        <v>113</v>
      </c>
      <c r="W21" s="3">
        <v>0</v>
      </c>
      <c r="X21" s="20">
        <f>W21/W$152</f>
        <v>0</v>
      </c>
      <c r="Y21" s="20">
        <f t="shared" si="8"/>
        <v>0</v>
      </c>
      <c r="Z21" s="22">
        <f t="shared" si="9"/>
        <v>0</v>
      </c>
      <c r="AA21" s="24">
        <f t="shared" si="0"/>
        <v>6.6666666666666671E-3</v>
      </c>
      <c r="AB21" s="10">
        <f>Z21*AA21/2</f>
        <v>0</v>
      </c>
      <c r="AD21" t="s">
        <v>118</v>
      </c>
      <c r="AE21" s="3">
        <v>3.8861745811419996E-3</v>
      </c>
      <c r="AF21" s="20">
        <f>AE21/AE$152</f>
        <v>2.1650222458226845E-5</v>
      </c>
      <c r="AG21" s="20">
        <f t="shared" si="7"/>
        <v>2.0202592142652153E-4</v>
      </c>
      <c r="AH21" s="22">
        <f t="shared" si="5"/>
        <v>3.8240162039481624E-4</v>
      </c>
      <c r="AI21" s="24">
        <f t="shared" si="1"/>
        <v>6.6666666666666671E-3</v>
      </c>
      <c r="AJ21">
        <f>AH21*AI21/2</f>
        <v>1.2746720679827209E-6</v>
      </c>
    </row>
    <row r="22" spans="1:36" x14ac:dyDescent="0.3">
      <c r="A22" t="s">
        <v>128</v>
      </c>
      <c r="B22" s="21">
        <v>13595808327.378111</v>
      </c>
      <c r="C22" s="22">
        <v>1.4329107134552826E-4</v>
      </c>
      <c r="D22" s="22">
        <f t="shared" si="2"/>
        <v>1.6516914088166512E-3</v>
      </c>
      <c r="E22" s="22">
        <f t="shared" si="3"/>
        <v>3.1600917462877741E-3</v>
      </c>
      <c r="F22" s="24">
        <f>1/150</f>
        <v>6.6666666666666671E-3</v>
      </c>
      <c r="G22">
        <f>E22*F22/2</f>
        <v>1.0533639154292581E-5</v>
      </c>
      <c r="M22" s="27" t="s">
        <v>139</v>
      </c>
      <c r="N22" s="3">
        <v>1.0482524593925999E-2</v>
      </c>
      <c r="O22" s="20">
        <v>4.7415274485532615E-6</v>
      </c>
      <c r="P22" s="20">
        <f t="shared" si="4"/>
        <v>4.0472989364762664E-5</v>
      </c>
      <c r="Q22" s="22">
        <f t="shared" si="6"/>
        <v>7.6204451280972068E-5</v>
      </c>
      <c r="R22" s="24">
        <f>1/150</f>
        <v>6.6666666666666671E-3</v>
      </c>
      <c r="S22">
        <f>Q22*R22/2</f>
        <v>2.5401483760324025E-7</v>
      </c>
      <c r="V22" t="s">
        <v>88</v>
      </c>
      <c r="W22" s="3">
        <v>0</v>
      </c>
      <c r="X22" s="20">
        <f>W22/W$152</f>
        <v>0</v>
      </c>
      <c r="Y22" s="20">
        <f t="shared" si="8"/>
        <v>0</v>
      </c>
      <c r="Z22" s="22">
        <f t="shared" si="9"/>
        <v>0</v>
      </c>
      <c r="AA22" s="24">
        <f t="shared" si="0"/>
        <v>6.6666666666666671E-3</v>
      </c>
      <c r="AB22" s="10">
        <f>Z22*AA22/2</f>
        <v>0</v>
      </c>
      <c r="AD22" t="s">
        <v>119</v>
      </c>
      <c r="AE22" s="3">
        <v>4.5390210652379998E-3</v>
      </c>
      <c r="AF22" s="20">
        <f>AE22/AE$152</f>
        <v>2.5287287987999347E-5</v>
      </c>
      <c r="AG22" s="20">
        <f t="shared" si="7"/>
        <v>2.2731320941452086E-4</v>
      </c>
      <c r="AH22" s="22">
        <f t="shared" si="5"/>
        <v>4.2933913084104236E-4</v>
      </c>
      <c r="AI22" s="24">
        <f t="shared" si="1"/>
        <v>6.6666666666666671E-3</v>
      </c>
      <c r="AJ22">
        <f>AH22*AI22/2</f>
        <v>1.4311304361368079E-6</v>
      </c>
    </row>
    <row r="23" spans="1:36" x14ac:dyDescent="0.3">
      <c r="A23" t="s">
        <v>37</v>
      </c>
      <c r="B23" s="21">
        <v>13679822692.218899</v>
      </c>
      <c r="C23" s="22">
        <v>1.4417652869065783E-4</v>
      </c>
      <c r="D23" s="22">
        <f t="shared" si="2"/>
        <v>1.795867937507309E-3</v>
      </c>
      <c r="E23" s="22">
        <f t="shared" si="3"/>
        <v>3.4475593463239602E-3</v>
      </c>
      <c r="F23" s="24">
        <f>1/150</f>
        <v>6.6666666666666671E-3</v>
      </c>
      <c r="G23">
        <f>E23*F23/2</f>
        <v>1.1491864487746534E-5</v>
      </c>
      <c r="M23" s="27" t="s">
        <v>131</v>
      </c>
      <c r="N23" s="3">
        <v>1.2655609174689997E-2</v>
      </c>
      <c r="O23" s="20">
        <v>5.7244719764097251E-6</v>
      </c>
      <c r="P23" s="20">
        <f t="shared" si="4"/>
        <v>4.6197461341172389E-5</v>
      </c>
      <c r="Q23" s="22">
        <f t="shared" si="6"/>
        <v>8.6670450705935052E-5</v>
      </c>
      <c r="R23" s="24">
        <f>1/150</f>
        <v>6.6666666666666671E-3</v>
      </c>
      <c r="S23">
        <f>Q23*R23/2</f>
        <v>2.8890150235311686E-7</v>
      </c>
      <c r="V23" t="s">
        <v>83</v>
      </c>
      <c r="W23" s="3">
        <v>0</v>
      </c>
      <c r="X23" s="20">
        <f>W23/W$152</f>
        <v>0</v>
      </c>
      <c r="Y23" s="20">
        <f t="shared" si="8"/>
        <v>0</v>
      </c>
      <c r="Z23" s="22">
        <f t="shared" si="9"/>
        <v>0</v>
      </c>
      <c r="AA23" s="24">
        <f t="shared" si="0"/>
        <v>6.6666666666666671E-3</v>
      </c>
      <c r="AB23" s="10">
        <f>Z23*AA23/2</f>
        <v>0</v>
      </c>
      <c r="AD23" t="s">
        <v>152</v>
      </c>
      <c r="AE23" s="3">
        <v>5.5427861549E-3</v>
      </c>
      <c r="AF23" s="20">
        <f>AE23/AE$152</f>
        <v>3.0879352120279834E-5</v>
      </c>
      <c r="AG23" s="20">
        <f t="shared" si="7"/>
        <v>2.5819256153480072E-4</v>
      </c>
      <c r="AH23" s="22">
        <f t="shared" si="5"/>
        <v>4.8550577094932159E-4</v>
      </c>
      <c r="AI23" s="24">
        <f t="shared" si="1"/>
        <v>6.6666666666666671E-3</v>
      </c>
      <c r="AJ23">
        <f>AH23*AI23/2</f>
        <v>1.6183525698310721E-6</v>
      </c>
    </row>
    <row r="24" spans="1:36" x14ac:dyDescent="0.3">
      <c r="A24" t="s">
        <v>155</v>
      </c>
      <c r="B24" s="21">
        <v>14492369787.952595</v>
      </c>
      <c r="C24" s="22">
        <v>1.527402522341797E-4</v>
      </c>
      <c r="D24" s="22">
        <f t="shared" si="2"/>
        <v>1.9486081897414887E-3</v>
      </c>
      <c r="E24" s="22">
        <f t="shared" si="3"/>
        <v>3.7444761272487975E-3</v>
      </c>
      <c r="F24" s="24">
        <f>1/150</f>
        <v>6.6666666666666671E-3</v>
      </c>
      <c r="G24">
        <f>E24*F24/2</f>
        <v>1.2481587090829325E-5</v>
      </c>
      <c r="M24" s="27" t="s">
        <v>144</v>
      </c>
      <c r="N24" s="3">
        <v>1.293567814112E-2</v>
      </c>
      <c r="O24" s="20">
        <v>5.8511546929554391E-6</v>
      </c>
      <c r="P24" s="20">
        <f t="shared" si="4"/>
        <v>5.204861603412783E-5</v>
      </c>
      <c r="Q24" s="22">
        <f t="shared" si="6"/>
        <v>9.8246077375300226E-5</v>
      </c>
      <c r="R24" s="24">
        <f>1/150</f>
        <v>6.6666666666666671E-3</v>
      </c>
      <c r="S24">
        <f>Q24*R24/2</f>
        <v>3.2748692458433408E-7</v>
      </c>
      <c r="V24" t="s">
        <v>77</v>
      </c>
      <c r="W24" s="3">
        <v>0</v>
      </c>
      <c r="X24" s="20">
        <f>W24/W$152</f>
        <v>0</v>
      </c>
      <c r="Y24" s="20">
        <f t="shared" si="8"/>
        <v>0</v>
      </c>
      <c r="Z24" s="22">
        <f t="shared" si="9"/>
        <v>0</v>
      </c>
      <c r="AA24" s="24">
        <f t="shared" si="0"/>
        <v>6.6666666666666671E-3</v>
      </c>
      <c r="AB24" s="10">
        <f>Z24*AA24/2</f>
        <v>0</v>
      </c>
      <c r="AD24" t="s">
        <v>147</v>
      </c>
      <c r="AE24" s="3">
        <v>6.323201219327999E-3</v>
      </c>
      <c r="AF24" s="20">
        <f>AE24/AE$152</f>
        <v>3.5227113498939373E-5</v>
      </c>
      <c r="AG24" s="20">
        <f t="shared" si="7"/>
        <v>2.9341967503374012E-4</v>
      </c>
      <c r="AH24" s="22">
        <f t="shared" si="5"/>
        <v>5.5161223656854084E-4</v>
      </c>
      <c r="AI24" s="24">
        <f t="shared" si="1"/>
        <v>6.6666666666666671E-3</v>
      </c>
      <c r="AJ24">
        <f>AH24*AI24/2</f>
        <v>1.8387074552284697E-6</v>
      </c>
    </row>
    <row r="25" spans="1:36" x14ac:dyDescent="0.3">
      <c r="A25" t="s">
        <v>141</v>
      </c>
      <c r="B25" s="21">
        <v>15260942682.754557</v>
      </c>
      <c r="C25" s="22">
        <v>1.608405159957346E-4</v>
      </c>
      <c r="D25" s="22">
        <f t="shared" si="2"/>
        <v>2.1094487057372233E-3</v>
      </c>
      <c r="E25" s="22">
        <f t="shared" si="3"/>
        <v>4.058056895478712E-3</v>
      </c>
      <c r="F25" s="24">
        <f>1/150</f>
        <v>6.6666666666666671E-3</v>
      </c>
      <c r="G25">
        <f>E25*F25/2</f>
        <v>1.3526856318262375E-5</v>
      </c>
      <c r="M25" s="27" t="s">
        <v>153</v>
      </c>
      <c r="N25" s="3">
        <v>1.4048495516497998E-2</v>
      </c>
      <c r="O25" s="20">
        <v>6.3545118836115111E-6</v>
      </c>
      <c r="P25" s="20">
        <f t="shared" si="4"/>
        <v>5.8403127917739338E-5</v>
      </c>
      <c r="Q25" s="22">
        <f t="shared" si="6"/>
        <v>1.1045174395186717E-4</v>
      </c>
      <c r="R25" s="24">
        <f>1/150</f>
        <v>6.6666666666666671E-3</v>
      </c>
      <c r="S25">
        <f>Q25*R25/2</f>
        <v>3.6817247983955723E-7</v>
      </c>
      <c r="V25" t="s">
        <v>76</v>
      </c>
      <c r="W25" s="3">
        <v>0</v>
      </c>
      <c r="X25" s="20">
        <f>W25/W$152</f>
        <v>0</v>
      </c>
      <c r="Y25" s="20">
        <f t="shared" si="8"/>
        <v>0</v>
      </c>
      <c r="Z25" s="22">
        <f t="shared" si="9"/>
        <v>0</v>
      </c>
      <c r="AA25" s="24">
        <f t="shared" si="0"/>
        <v>6.6666666666666671E-3</v>
      </c>
      <c r="AB25" s="10">
        <f>Z25*AA25/2</f>
        <v>0</v>
      </c>
      <c r="AD25" t="s">
        <v>114</v>
      </c>
      <c r="AE25" s="3">
        <v>6.3434013264420013E-3</v>
      </c>
      <c r="AF25" s="20">
        <f>AE25/AE$152</f>
        <v>3.5339650083070303E-5</v>
      </c>
      <c r="AG25" s="20">
        <f t="shared" si="7"/>
        <v>3.287593251168104E-4</v>
      </c>
      <c r="AH25" s="22">
        <f t="shared" si="5"/>
        <v>6.2217900015055052E-4</v>
      </c>
      <c r="AI25" s="24">
        <f t="shared" si="1"/>
        <v>6.6666666666666671E-3</v>
      </c>
      <c r="AJ25">
        <f>AH25*AI25/2</f>
        <v>2.0739300005018354E-6</v>
      </c>
    </row>
    <row r="26" spans="1:36" x14ac:dyDescent="0.3">
      <c r="A26" t="s">
        <v>130</v>
      </c>
      <c r="B26" s="21">
        <v>15432355339.810682</v>
      </c>
      <c r="C26" s="22">
        <v>1.6264709510308307E-4</v>
      </c>
      <c r="D26" s="22">
        <f t="shared" si="2"/>
        <v>2.2720958008403064E-3</v>
      </c>
      <c r="E26" s="22">
        <f t="shared" si="3"/>
        <v>4.3815445065775293E-3</v>
      </c>
      <c r="F26" s="24">
        <f>1/150</f>
        <v>6.6666666666666671E-3</v>
      </c>
      <c r="G26">
        <f>E26*F26/2</f>
        <v>1.4605148355258432E-5</v>
      </c>
      <c r="M26" s="27" t="s">
        <v>148</v>
      </c>
      <c r="N26" s="3">
        <v>1.4396721095021998E-2</v>
      </c>
      <c r="O26" s="20">
        <v>6.5120236665856824E-6</v>
      </c>
      <c r="P26" s="20">
        <f t="shared" si="4"/>
        <v>6.4915151584325019E-5</v>
      </c>
      <c r="Q26" s="22">
        <f t="shared" si="6"/>
        <v>1.2331827950206437E-4</v>
      </c>
      <c r="R26" s="24">
        <f>1/150</f>
        <v>6.6666666666666671E-3</v>
      </c>
      <c r="S26">
        <f>Q26*R26/2</f>
        <v>4.1106093167354791E-7</v>
      </c>
      <c r="V26" t="s">
        <v>84</v>
      </c>
      <c r="W26" s="3">
        <v>0</v>
      </c>
      <c r="X26" s="20">
        <f>W26/W$152</f>
        <v>0</v>
      </c>
      <c r="Y26" s="20">
        <f t="shared" si="8"/>
        <v>0</v>
      </c>
      <c r="Z26" s="22">
        <f t="shared" si="9"/>
        <v>0</v>
      </c>
      <c r="AA26" s="24">
        <f t="shared" si="0"/>
        <v>6.6666666666666671E-3</v>
      </c>
      <c r="AB26" s="10">
        <f>Z26*AA26/2</f>
        <v>0</v>
      </c>
      <c r="AD26" t="s">
        <v>81</v>
      </c>
      <c r="AE26" s="3">
        <v>7.363597624411999E-3</v>
      </c>
      <c r="AF26" s="20">
        <f>AE26/AE$152</f>
        <v>4.1023253930743881E-5</v>
      </c>
      <c r="AG26" s="20">
        <f t="shared" si="7"/>
        <v>3.6978257904755429E-4</v>
      </c>
      <c r="AH26" s="22">
        <f t="shared" si="5"/>
        <v>6.985419041643647E-4</v>
      </c>
      <c r="AI26" s="24">
        <f t="shared" si="1"/>
        <v>6.6666666666666671E-3</v>
      </c>
      <c r="AJ26">
        <f>AH26*AI26/2</f>
        <v>2.3284730138812159E-6</v>
      </c>
    </row>
    <row r="27" spans="1:36" x14ac:dyDescent="0.3">
      <c r="A27" t="s">
        <v>68</v>
      </c>
      <c r="B27" s="21">
        <v>15568367220.799885</v>
      </c>
      <c r="C27" s="22">
        <v>1.6408057280984197E-4</v>
      </c>
      <c r="D27" s="22">
        <f t="shared" si="2"/>
        <v>2.4361763736501485E-3</v>
      </c>
      <c r="E27" s="22">
        <f t="shared" si="3"/>
        <v>4.7082721744904545E-3</v>
      </c>
      <c r="F27" s="24">
        <f>1/150</f>
        <v>6.6666666666666671E-3</v>
      </c>
      <c r="G27">
        <f>E27*F27/2</f>
        <v>1.5694240581634851E-5</v>
      </c>
      <c r="M27" s="27" t="s">
        <v>128</v>
      </c>
      <c r="N27" s="3">
        <v>1.4831445499263999E-2</v>
      </c>
      <c r="O27" s="20">
        <v>6.7086611919069954E-6</v>
      </c>
      <c r="P27" s="20">
        <f t="shared" si="4"/>
        <v>7.1623812776232021E-5</v>
      </c>
      <c r="Q27" s="22">
        <f t="shared" si="6"/>
        <v>1.3653896436055703E-4</v>
      </c>
      <c r="R27" s="24">
        <f>1/150</f>
        <v>6.6666666666666671E-3</v>
      </c>
      <c r="S27">
        <f>Q27*R27/2</f>
        <v>4.5512988120185676E-7</v>
      </c>
      <c r="V27" t="s">
        <v>71</v>
      </c>
      <c r="W27" s="3">
        <v>0</v>
      </c>
      <c r="X27" s="20">
        <f>W27/W$152</f>
        <v>0</v>
      </c>
      <c r="Y27" s="20">
        <f t="shared" si="8"/>
        <v>0</v>
      </c>
      <c r="Z27" s="22">
        <f t="shared" si="9"/>
        <v>0</v>
      </c>
      <c r="AA27" s="24">
        <f t="shared" si="0"/>
        <v>6.6666666666666671E-3</v>
      </c>
      <c r="AB27" s="10">
        <f>Z27*AA27/2</f>
        <v>0</v>
      </c>
      <c r="AD27" t="s">
        <v>129</v>
      </c>
      <c r="AE27" s="3">
        <v>7.683024210712E-3</v>
      </c>
      <c r="AF27" s="20">
        <f>AE27/AE$152</f>
        <v>4.2802807707361601E-5</v>
      </c>
      <c r="AG27" s="20">
        <f t="shared" si="7"/>
        <v>4.1258538675491589E-4</v>
      </c>
      <c r="AH27" s="22">
        <f t="shared" si="5"/>
        <v>7.8236796580247018E-4</v>
      </c>
      <c r="AI27" s="24">
        <f t="shared" si="1"/>
        <v>6.6666666666666671E-3</v>
      </c>
      <c r="AJ27">
        <f>AH27*AI27/2</f>
        <v>2.6078932193415674E-6</v>
      </c>
    </row>
    <row r="28" spans="1:36" x14ac:dyDescent="0.3">
      <c r="A28" t="s">
        <v>114</v>
      </c>
      <c r="B28" s="21">
        <v>15841222424.942118</v>
      </c>
      <c r="C28" s="22">
        <v>1.6695629108876266E-4</v>
      </c>
      <c r="D28" s="22">
        <f t="shared" si="2"/>
        <v>2.6031326647389112E-3</v>
      </c>
      <c r="E28" s="22">
        <f t="shared" si="3"/>
        <v>5.0393090383890598E-3</v>
      </c>
      <c r="F28" s="24">
        <f>1/150</f>
        <v>6.6666666666666671E-3</v>
      </c>
      <c r="G28">
        <f>E28*F28/2</f>
        <v>1.6797696794630199E-5</v>
      </c>
      <c r="M28" s="27" t="s">
        <v>46</v>
      </c>
      <c r="N28" s="3">
        <v>1.5238666601853999E-2</v>
      </c>
      <c r="O28" s="20">
        <v>6.8928582351154056E-6</v>
      </c>
      <c r="P28" s="20">
        <f t="shared" si="4"/>
        <v>7.851667101134743E-5</v>
      </c>
      <c r="Q28" s="22">
        <f t="shared" si="6"/>
        <v>1.5014048378757944E-4</v>
      </c>
      <c r="R28" s="24">
        <f>1/150</f>
        <v>6.6666666666666671E-3</v>
      </c>
      <c r="S28">
        <f>Q28*R28/2</f>
        <v>5.0046827929193153E-7</v>
      </c>
      <c r="V28" t="s">
        <v>87</v>
      </c>
      <c r="W28" s="3">
        <v>0</v>
      </c>
      <c r="X28" s="20">
        <f>W28/W$152</f>
        <v>0</v>
      </c>
      <c r="Y28" s="20">
        <f t="shared" si="8"/>
        <v>0</v>
      </c>
      <c r="Z28" s="22">
        <f t="shared" si="9"/>
        <v>0</v>
      </c>
      <c r="AA28" s="24">
        <f t="shared" si="0"/>
        <v>6.6666666666666671E-3</v>
      </c>
      <c r="AB28" s="10">
        <f>Z28*AA28/2</f>
        <v>0</v>
      </c>
      <c r="AD28" t="s">
        <v>132</v>
      </c>
      <c r="AE28" s="3">
        <v>7.873697911992E-3</v>
      </c>
      <c r="AF28" s="20">
        <f>AE28/AE$152</f>
        <v>4.3865067768882663E-5</v>
      </c>
      <c r="AG28" s="20">
        <f t="shared" si="7"/>
        <v>4.5645045452379854E-4</v>
      </c>
      <c r="AH28" s="22">
        <f t="shared" si="5"/>
        <v>8.6903584127871443E-4</v>
      </c>
      <c r="AI28" s="24">
        <f t="shared" si="1"/>
        <v>6.6666666666666671E-3</v>
      </c>
      <c r="AJ28">
        <f>AH28*AI28/2</f>
        <v>2.8967861375957148E-6</v>
      </c>
    </row>
    <row r="29" spans="1:36" x14ac:dyDescent="0.3">
      <c r="A29" t="s">
        <v>137</v>
      </c>
      <c r="B29" s="21">
        <v>15847607943.984638</v>
      </c>
      <c r="C29" s="22">
        <v>1.6702359035061364E-4</v>
      </c>
      <c r="D29" s="22">
        <f t="shared" si="2"/>
        <v>2.7701562550895248E-3</v>
      </c>
      <c r="E29" s="22">
        <f t="shared" si="3"/>
        <v>5.373288919828436E-3</v>
      </c>
      <c r="F29" s="24">
        <f>1/150</f>
        <v>6.6666666666666671E-3</v>
      </c>
      <c r="G29">
        <f>E29*F29/2</f>
        <v>1.7910963066094788E-5</v>
      </c>
      <c r="M29" s="27" t="s">
        <v>150</v>
      </c>
      <c r="N29" s="3">
        <v>1.564489989396E-2</v>
      </c>
      <c r="O29" s="20">
        <v>7.0766084651079838E-6</v>
      </c>
      <c r="P29" s="20">
        <f t="shared" si="4"/>
        <v>8.5593279476455411E-5</v>
      </c>
      <c r="Q29" s="22">
        <f t="shared" si="6"/>
        <v>1.6410995048780284E-4</v>
      </c>
      <c r="R29" s="24">
        <f>1/150</f>
        <v>6.6666666666666671E-3</v>
      </c>
      <c r="S29">
        <f>Q29*R29/2</f>
        <v>5.4703316829267619E-7</v>
      </c>
      <c r="V29" t="s">
        <v>85</v>
      </c>
      <c r="W29" s="3">
        <v>0</v>
      </c>
      <c r="X29" s="20">
        <f>W29/W$152</f>
        <v>0</v>
      </c>
      <c r="Y29" s="20">
        <f t="shared" si="8"/>
        <v>0</v>
      </c>
      <c r="Z29" s="22">
        <f t="shared" si="9"/>
        <v>0</v>
      </c>
      <c r="AA29" s="24">
        <f t="shared" si="0"/>
        <v>6.6666666666666671E-3</v>
      </c>
      <c r="AB29" s="10">
        <f>Z29*AA29/2</f>
        <v>0</v>
      </c>
      <c r="AD29" t="s">
        <v>125</v>
      </c>
      <c r="AE29" s="3">
        <v>7.8894135192528001E-3</v>
      </c>
      <c r="AF29" s="20">
        <f>AE29/AE$152</f>
        <v>4.3952620807522131E-5</v>
      </c>
      <c r="AG29" s="20">
        <f t="shared" si="7"/>
        <v>5.0040307533132068E-4</v>
      </c>
      <c r="AH29" s="22">
        <f t="shared" si="5"/>
        <v>9.5685352985511922E-4</v>
      </c>
      <c r="AI29" s="24">
        <f t="shared" si="1"/>
        <v>6.6666666666666671E-3</v>
      </c>
      <c r="AJ29">
        <f>AH29*AI29/2</f>
        <v>3.189511766183731E-6</v>
      </c>
    </row>
    <row r="30" spans="1:36" x14ac:dyDescent="0.3">
      <c r="A30" t="s">
        <v>151</v>
      </c>
      <c r="B30" s="21">
        <v>16088387161.446194</v>
      </c>
      <c r="C30" s="22">
        <v>1.695612483696906E-4</v>
      </c>
      <c r="D30" s="22">
        <f t="shared" si="2"/>
        <v>2.9397175034592154E-3</v>
      </c>
      <c r="E30" s="22">
        <f t="shared" si="3"/>
        <v>5.7098737585487402E-3</v>
      </c>
      <c r="F30" s="24">
        <f>1/150</f>
        <v>6.6666666666666671E-3</v>
      </c>
      <c r="G30">
        <f>E30*F30/2</f>
        <v>1.9032912528495801E-5</v>
      </c>
      <c r="M30" s="27" t="s">
        <v>138</v>
      </c>
      <c r="N30" s="3">
        <v>1.6155854320156003E-2</v>
      </c>
      <c r="O30" s="20">
        <v>7.307726877000091E-6</v>
      </c>
      <c r="P30" s="20">
        <f t="shared" si="4"/>
        <v>9.2901006353455506E-5</v>
      </c>
      <c r="Q30" s="22">
        <f t="shared" si="6"/>
        <v>1.7849428582991092E-4</v>
      </c>
      <c r="R30" s="24">
        <f>1/150</f>
        <v>6.6666666666666671E-3</v>
      </c>
      <c r="S30">
        <f>Q30*R30/2</f>
        <v>5.9498095276636975E-7</v>
      </c>
      <c r="V30" t="s">
        <v>64</v>
      </c>
      <c r="W30" s="3">
        <v>0</v>
      </c>
      <c r="X30" s="20">
        <f>W30/W$152</f>
        <v>0</v>
      </c>
      <c r="Y30" s="20">
        <f t="shared" si="8"/>
        <v>0</v>
      </c>
      <c r="Z30" s="22">
        <f t="shared" si="9"/>
        <v>0</v>
      </c>
      <c r="AA30" s="24">
        <f t="shared" si="0"/>
        <v>6.6666666666666671E-3</v>
      </c>
      <c r="AB30" s="10">
        <f>Z30*AA30/2</f>
        <v>0</v>
      </c>
      <c r="AD30" t="s">
        <v>105</v>
      </c>
      <c r="AE30" s="3">
        <v>8.4589333311759982E-3</v>
      </c>
      <c r="AF30" s="20">
        <f>AE30/AE$152</f>
        <v>4.7125466073490952E-5</v>
      </c>
      <c r="AG30" s="20">
        <f t="shared" si="7"/>
        <v>5.4752854140481164E-4</v>
      </c>
      <c r="AH30" s="22">
        <f t="shared" si="5"/>
        <v>1.0479316167361324E-3</v>
      </c>
      <c r="AI30" s="24">
        <f t="shared" si="1"/>
        <v>6.6666666666666671E-3</v>
      </c>
      <c r="AJ30">
        <f>AH30*AI30/2</f>
        <v>3.4931053891204418E-6</v>
      </c>
    </row>
    <row r="31" spans="1:36" x14ac:dyDescent="0.3">
      <c r="A31" t="s">
        <v>89</v>
      </c>
      <c r="B31" s="21">
        <v>16308475359.187122</v>
      </c>
      <c r="C31" s="22">
        <v>1.7188083635485645E-4</v>
      </c>
      <c r="D31" s="22">
        <f t="shared" si="2"/>
        <v>3.111598339814072E-3</v>
      </c>
      <c r="E31" s="22">
        <f t="shared" si="3"/>
        <v>6.0513158432732878E-3</v>
      </c>
      <c r="F31" s="24">
        <f>1/150</f>
        <v>6.6666666666666671E-3</v>
      </c>
      <c r="G31">
        <f>E31*F31/2</f>
        <v>2.0171052810910962E-5</v>
      </c>
      <c r="M31" s="27" t="s">
        <v>112</v>
      </c>
      <c r="N31" s="3">
        <v>1.6207737631937998E-2</v>
      </c>
      <c r="O31" s="20">
        <v>7.3311950925746786E-6</v>
      </c>
      <c r="P31" s="20">
        <f t="shared" si="4"/>
        <v>1.0023220144603018E-4</v>
      </c>
      <c r="Q31" s="22">
        <f t="shared" si="6"/>
        <v>1.9313320779948569E-4</v>
      </c>
      <c r="R31" s="24">
        <f>1/150</f>
        <v>6.6666666666666671E-3</v>
      </c>
      <c r="S31">
        <f>Q31*R31/2</f>
        <v>6.4377735933161902E-7</v>
      </c>
      <c r="V31" t="s">
        <v>46</v>
      </c>
      <c r="W31" s="3">
        <v>0</v>
      </c>
      <c r="X31" s="20">
        <f>W31/W$152</f>
        <v>0</v>
      </c>
      <c r="Y31" s="20">
        <f t="shared" si="8"/>
        <v>0</v>
      </c>
      <c r="Z31" s="22">
        <f t="shared" si="9"/>
        <v>0</v>
      </c>
      <c r="AA31" s="24">
        <f t="shared" si="0"/>
        <v>6.6666666666666671E-3</v>
      </c>
      <c r="AB31" s="10">
        <f>Z31*AA31/2</f>
        <v>0</v>
      </c>
      <c r="AD31" t="s">
        <v>142</v>
      </c>
      <c r="AE31" s="3">
        <v>8.6785159329939993E-3</v>
      </c>
      <c r="AF31" s="20">
        <f>AE31/AE$152</f>
        <v>4.8348780177902322E-5</v>
      </c>
      <c r="AG31" s="20">
        <f t="shared" si="7"/>
        <v>5.9587732158271399E-4</v>
      </c>
      <c r="AH31" s="22">
        <f t="shared" si="5"/>
        <v>1.1434058629875257E-3</v>
      </c>
      <c r="AI31" s="24">
        <f t="shared" si="1"/>
        <v>6.6666666666666671E-3</v>
      </c>
      <c r="AJ31">
        <f>AH31*AI31/2</f>
        <v>3.811352876625086E-6</v>
      </c>
    </row>
    <row r="32" spans="1:36" x14ac:dyDescent="0.3">
      <c r="A32" t="s">
        <v>72</v>
      </c>
      <c r="B32" s="21">
        <v>16315127652.444309</v>
      </c>
      <c r="C32" s="22">
        <v>1.7195094724527018E-4</v>
      </c>
      <c r="D32" s="22">
        <f t="shared" si="2"/>
        <v>3.2835492870593422E-3</v>
      </c>
      <c r="E32" s="22">
        <f t="shared" si="3"/>
        <v>6.3951476268734146E-3</v>
      </c>
      <c r="F32" s="24">
        <f>1/150</f>
        <v>6.6666666666666671E-3</v>
      </c>
      <c r="G32">
        <f>E32*F32/2</f>
        <v>2.1317158756244715E-5</v>
      </c>
      <c r="M32" s="27" t="s">
        <v>137</v>
      </c>
      <c r="N32" s="3">
        <v>1.7077774883251202E-2</v>
      </c>
      <c r="O32" s="20">
        <v>7.7247363117153202E-6</v>
      </c>
      <c r="P32" s="20">
        <f t="shared" si="4"/>
        <v>1.079569377577455E-4</v>
      </c>
      <c r="Q32" s="22">
        <f t="shared" si="6"/>
        <v>2.0818913920377569E-4</v>
      </c>
      <c r="R32" s="24">
        <f>1/150</f>
        <v>6.6666666666666671E-3</v>
      </c>
      <c r="S32">
        <f>Q32*R32/2</f>
        <v>6.9396379734591895E-7</v>
      </c>
      <c r="V32" t="s">
        <v>37</v>
      </c>
      <c r="W32" s="3">
        <v>0</v>
      </c>
      <c r="X32" s="20">
        <f>W32/W$152</f>
        <v>0</v>
      </c>
      <c r="Y32" s="20">
        <f t="shared" si="8"/>
        <v>0</v>
      </c>
      <c r="Z32" s="22">
        <f t="shared" si="9"/>
        <v>0</v>
      </c>
      <c r="AA32" s="24">
        <f t="shared" si="0"/>
        <v>6.6666666666666671E-3</v>
      </c>
      <c r="AB32" s="10">
        <f>Z32*AA32/2</f>
        <v>0</v>
      </c>
      <c r="AD32" t="s">
        <v>127</v>
      </c>
      <c r="AE32" s="3">
        <v>9.3443605584960007E-3</v>
      </c>
      <c r="AF32" s="20">
        <f>AE32/AE$152</f>
        <v>5.2058259503583276E-5</v>
      </c>
      <c r="AG32" s="20">
        <f t="shared" si="7"/>
        <v>6.4793558108629723E-4</v>
      </c>
      <c r="AH32" s="22">
        <f t="shared" si="5"/>
        <v>1.2438129026690111E-3</v>
      </c>
      <c r="AI32" s="24">
        <f t="shared" si="1"/>
        <v>6.6666666666666671E-3</v>
      </c>
      <c r="AJ32">
        <f>AH32*AI32/2</f>
        <v>4.1460430088967037E-6</v>
      </c>
    </row>
    <row r="33" spans="1:36" x14ac:dyDescent="0.3">
      <c r="A33" t="s">
        <v>76</v>
      </c>
      <c r="B33" s="21">
        <v>16805289922.765602</v>
      </c>
      <c r="C33" s="22">
        <v>1.7711694217225509E-4</v>
      </c>
      <c r="D33" s="22">
        <f t="shared" si="2"/>
        <v>3.4606662292315975E-3</v>
      </c>
      <c r="E33" s="22">
        <f t="shared" si="3"/>
        <v>6.7442155162909401E-3</v>
      </c>
      <c r="F33" s="24">
        <f>1/150</f>
        <v>6.6666666666666671E-3</v>
      </c>
      <c r="G33">
        <f>E33*F33/2</f>
        <v>2.2480718387636469E-5</v>
      </c>
      <c r="M33" s="27" t="s">
        <v>91</v>
      </c>
      <c r="N33" s="3">
        <v>1.7451436240400003E-2</v>
      </c>
      <c r="O33" s="20">
        <v>7.8937533806007399E-6</v>
      </c>
      <c r="P33" s="20">
        <f t="shared" si="4"/>
        <v>1.1585069113834624E-4</v>
      </c>
      <c r="Q33" s="22">
        <f t="shared" si="6"/>
        <v>2.2380762889609175E-4</v>
      </c>
      <c r="R33" s="24">
        <f>1/150</f>
        <v>6.6666666666666671E-3</v>
      </c>
      <c r="S33">
        <f>Q33*R33/2</f>
        <v>7.4602542965363918E-7</v>
      </c>
      <c r="V33" t="s">
        <v>51</v>
      </c>
      <c r="W33" s="3">
        <v>0</v>
      </c>
      <c r="X33" s="20">
        <f>W33/W$152</f>
        <v>0</v>
      </c>
      <c r="Y33" s="20">
        <f t="shared" si="8"/>
        <v>0</v>
      </c>
      <c r="Z33" s="22">
        <f t="shared" si="9"/>
        <v>0</v>
      </c>
      <c r="AA33" s="24">
        <f t="shared" si="0"/>
        <v>6.6666666666666671E-3</v>
      </c>
      <c r="AB33" s="10">
        <f>Z33*AA33/2</f>
        <v>0</v>
      </c>
      <c r="AD33" t="s">
        <v>64</v>
      </c>
      <c r="AE33" s="3">
        <v>9.4957288525479994E-3</v>
      </c>
      <c r="AF33" s="20">
        <f>AE33/AE$152</f>
        <v>5.2901545663513079E-5</v>
      </c>
      <c r="AG33" s="20">
        <f t="shared" si="7"/>
        <v>7.0083712674981035E-4</v>
      </c>
      <c r="AH33" s="22">
        <f t="shared" si="5"/>
        <v>1.3487727078361077E-3</v>
      </c>
      <c r="AI33" s="24">
        <f t="shared" si="1"/>
        <v>6.6666666666666671E-3</v>
      </c>
      <c r="AJ33">
        <f>AH33*AI33/2</f>
        <v>4.4959090261203591E-6</v>
      </c>
    </row>
    <row r="34" spans="1:36" x14ac:dyDescent="0.3">
      <c r="A34" t="s">
        <v>144</v>
      </c>
      <c r="B34" s="21">
        <v>17248313422.992172</v>
      </c>
      <c r="C34" s="22">
        <v>1.817861247945842E-4</v>
      </c>
      <c r="D34" s="22">
        <f t="shared" si="2"/>
        <v>3.6424523540261817E-3</v>
      </c>
      <c r="E34" s="22">
        <f t="shared" si="3"/>
        <v>7.1031185832577792E-3</v>
      </c>
      <c r="F34" s="24">
        <f>1/150</f>
        <v>6.6666666666666671E-3</v>
      </c>
      <c r="G34">
        <f>E34*F34/2</f>
        <v>2.3677061944192597E-5</v>
      </c>
      <c r="M34" s="27" t="s">
        <v>115</v>
      </c>
      <c r="N34" s="3">
        <v>1.8540099329353795E-2</v>
      </c>
      <c r="O34" s="20">
        <v>8.3861849386904984E-6</v>
      </c>
      <c r="P34" s="20">
        <f t="shared" si="4"/>
        <v>1.2423687607703674E-4</v>
      </c>
      <c r="Q34" s="22">
        <f t="shared" si="6"/>
        <v>2.40087567215383E-4</v>
      </c>
      <c r="R34" s="24">
        <f>1/150</f>
        <v>6.6666666666666671E-3</v>
      </c>
      <c r="S34">
        <f>Q34*R34/2</f>
        <v>8.0029189071794343E-7</v>
      </c>
      <c r="V34" t="s">
        <v>10</v>
      </c>
      <c r="W34" s="3">
        <v>0</v>
      </c>
      <c r="X34" s="20">
        <f>W34/W$152</f>
        <v>0</v>
      </c>
      <c r="Y34" s="20">
        <f t="shared" si="8"/>
        <v>0</v>
      </c>
      <c r="Z34" s="22">
        <f t="shared" si="9"/>
        <v>0</v>
      </c>
      <c r="AA34" s="24">
        <f t="shared" si="0"/>
        <v>6.6666666666666671E-3</v>
      </c>
      <c r="AB34" s="10">
        <f>Z34*AA34/2</f>
        <v>0</v>
      </c>
      <c r="AD34" t="s">
        <v>148</v>
      </c>
      <c r="AE34" s="3">
        <v>9.9945422990219985E-3</v>
      </c>
      <c r="AF34" s="20">
        <f>AE34/AE$152</f>
        <v>5.5680479511138467E-5</v>
      </c>
      <c r="AG34" s="20">
        <f t="shared" si="7"/>
        <v>7.5651760626094884E-4</v>
      </c>
      <c r="AH34" s="22">
        <f t="shared" si="5"/>
        <v>1.4573547330107592E-3</v>
      </c>
      <c r="AI34" s="24">
        <f t="shared" si="1"/>
        <v>6.6666666666666671E-3</v>
      </c>
      <c r="AJ34">
        <f>AH34*AI34/2</f>
        <v>4.8578491100358642E-6</v>
      </c>
    </row>
    <row r="35" spans="1:36" x14ac:dyDescent="0.3">
      <c r="A35" t="s">
        <v>75</v>
      </c>
      <c r="B35" s="21">
        <v>17489977781.886208</v>
      </c>
      <c r="C35" s="22">
        <v>1.8433311163480205E-4</v>
      </c>
      <c r="D35" s="22">
        <f t="shared" si="2"/>
        <v>3.8267854656609838E-3</v>
      </c>
      <c r="E35" s="22">
        <f t="shared" si="3"/>
        <v>7.4692378196871655E-3</v>
      </c>
      <c r="F35" s="24">
        <f>1/150</f>
        <v>6.6666666666666671E-3</v>
      </c>
      <c r="G35">
        <f>E35*F35/2</f>
        <v>2.4897459398957219E-5</v>
      </c>
      <c r="M35" s="27" t="s">
        <v>87</v>
      </c>
      <c r="N35" s="3">
        <v>1.9665358068261397E-2</v>
      </c>
      <c r="O35" s="20">
        <v>8.8951696922627815E-6</v>
      </c>
      <c r="P35" s="20">
        <f t="shared" si="4"/>
        <v>1.3313204576929954E-4</v>
      </c>
      <c r="Q35" s="22">
        <f t="shared" si="6"/>
        <v>2.5736892184633625E-4</v>
      </c>
      <c r="R35" s="24">
        <f>1/150</f>
        <v>6.6666666666666671E-3</v>
      </c>
      <c r="S35">
        <f>Q35*R35/2</f>
        <v>8.5789640615445419E-7</v>
      </c>
      <c r="V35" t="s">
        <v>9</v>
      </c>
      <c r="W35" s="3">
        <v>0</v>
      </c>
      <c r="X35" s="20">
        <f>W35/W$152</f>
        <v>0</v>
      </c>
      <c r="Y35" s="20">
        <f t="shared" si="8"/>
        <v>0</v>
      </c>
      <c r="Z35" s="22">
        <f t="shared" si="9"/>
        <v>0</v>
      </c>
      <c r="AA35" s="24">
        <f t="shared" si="0"/>
        <v>6.6666666666666671E-3</v>
      </c>
      <c r="AB35" s="10">
        <f>Z35*AA35/2</f>
        <v>0</v>
      </c>
      <c r="AD35" t="s">
        <v>151</v>
      </c>
      <c r="AE35" s="3">
        <v>1.005483702812E-2</v>
      </c>
      <c r="AF35" s="20">
        <f>AE35/AE$152</f>
        <v>5.6016386782099682E-5</v>
      </c>
      <c r="AG35" s="20">
        <f t="shared" si="7"/>
        <v>8.1253399304304856E-4</v>
      </c>
      <c r="AH35" s="22">
        <f t="shared" si="5"/>
        <v>1.5690515993039974E-3</v>
      </c>
      <c r="AI35" s="24">
        <f t="shared" si="1"/>
        <v>6.6666666666666671E-3</v>
      </c>
      <c r="AJ35">
        <f>AH35*AI35/2</f>
        <v>5.2301719976799916E-6</v>
      </c>
    </row>
    <row r="36" spans="1:36" x14ac:dyDescent="0.3">
      <c r="A36" t="s">
        <v>146</v>
      </c>
      <c r="B36" s="21">
        <v>17987353311.131538</v>
      </c>
      <c r="C36" s="22">
        <v>1.895751296693676E-4</v>
      </c>
      <c r="D36" s="22">
        <f t="shared" si="2"/>
        <v>4.0163605953303511E-3</v>
      </c>
      <c r="E36" s="22">
        <f t="shared" si="3"/>
        <v>7.8431460609913357E-3</v>
      </c>
      <c r="F36" s="24">
        <f>1/150</f>
        <v>6.6666666666666671E-3</v>
      </c>
      <c r="G36">
        <f>E36*F36/2</f>
        <v>2.6143820203304455E-5</v>
      </c>
      <c r="M36" s="27" t="s">
        <v>85</v>
      </c>
      <c r="N36" s="3">
        <v>2.0076627013278003E-2</v>
      </c>
      <c r="O36" s="20">
        <v>9.0811976833312404E-6</v>
      </c>
      <c r="P36" s="20">
        <f t="shared" si="4"/>
        <v>1.4221324345263078E-4</v>
      </c>
      <c r="Q36" s="22">
        <f t="shared" si="6"/>
        <v>2.7534528922193034E-4</v>
      </c>
      <c r="R36" s="24">
        <f>1/150</f>
        <v>6.6666666666666671E-3</v>
      </c>
      <c r="S36">
        <f>Q36*R36/2</f>
        <v>9.178176307397679E-7</v>
      </c>
      <c r="V36" t="s">
        <v>6</v>
      </c>
      <c r="W36" s="3">
        <v>0</v>
      </c>
      <c r="X36" s="20">
        <f>W36/W$152</f>
        <v>0</v>
      </c>
      <c r="Y36" s="20">
        <f t="shared" si="8"/>
        <v>0</v>
      </c>
      <c r="Z36" s="22">
        <f t="shared" si="9"/>
        <v>0</v>
      </c>
      <c r="AA36" s="24">
        <f t="shared" si="0"/>
        <v>6.6666666666666671E-3</v>
      </c>
      <c r="AB36" s="10">
        <f>Z36*AA36/2</f>
        <v>0</v>
      </c>
      <c r="AD36" t="s">
        <v>139</v>
      </c>
      <c r="AE36" s="3">
        <v>1.0482524593925999E-2</v>
      </c>
      <c r="AF36" s="20">
        <f>AE36/AE$152</f>
        <v>5.8399072054977051E-5</v>
      </c>
      <c r="AG36" s="20">
        <f t="shared" si="7"/>
        <v>8.7093306509802566E-4</v>
      </c>
      <c r="AH36" s="22">
        <f t="shared" si="5"/>
        <v>1.6834670581410741E-3</v>
      </c>
      <c r="AI36" s="24">
        <f t="shared" si="1"/>
        <v>6.6666666666666671E-3</v>
      </c>
      <c r="AJ36">
        <f>AH36*AI36/2</f>
        <v>5.6115568604702477E-6</v>
      </c>
    </row>
    <row r="37" spans="1:36" x14ac:dyDescent="0.3">
      <c r="A37" t="s">
        <v>131</v>
      </c>
      <c r="B37" s="21">
        <v>19159972710.824131</v>
      </c>
      <c r="C37" s="22">
        <v>2.0193378360273801E-4</v>
      </c>
      <c r="D37" s="22">
        <f t="shared" si="2"/>
        <v>4.2182943789330889E-3</v>
      </c>
      <c r="E37" s="22">
        <f t="shared" si="3"/>
        <v>8.23465497426344E-3</v>
      </c>
      <c r="F37" s="24">
        <f>1/150</f>
        <v>6.6666666666666671E-3</v>
      </c>
      <c r="G37">
        <f>E37*F37/2</f>
        <v>2.7448849914211467E-5</v>
      </c>
      <c r="M37" s="27" t="s">
        <v>136</v>
      </c>
      <c r="N37" s="3">
        <v>2.2198150242353991E-2</v>
      </c>
      <c r="O37" s="20">
        <v>1.0040819626811907E-5</v>
      </c>
      <c r="P37" s="20">
        <f t="shared" si="4"/>
        <v>1.5225406307944268E-4</v>
      </c>
      <c r="Q37" s="22">
        <f t="shared" si="6"/>
        <v>2.9446730653207346E-4</v>
      </c>
      <c r="R37" s="24">
        <f>1/150</f>
        <v>6.6666666666666671E-3</v>
      </c>
      <c r="S37">
        <f>Q37*R37/2</f>
        <v>9.8155768844024483E-7</v>
      </c>
      <c r="V37" t="s">
        <v>138</v>
      </c>
      <c r="W37" s="3">
        <v>2.3959878899999998E-4</v>
      </c>
      <c r="X37" s="20">
        <f>W37/W$152</f>
        <v>1.1795385759932672E-7</v>
      </c>
      <c r="Y37" s="20">
        <f t="shared" si="8"/>
        <v>1.1795385759932672E-7</v>
      </c>
      <c r="Z37" s="22">
        <f t="shared" si="9"/>
        <v>1.1795385759932672E-7</v>
      </c>
      <c r="AA37" s="24">
        <f t="shared" si="0"/>
        <v>6.6666666666666671E-3</v>
      </c>
      <c r="AB37" s="10">
        <f>Z37*AA37/2</f>
        <v>3.9317952533108911E-10</v>
      </c>
      <c r="AD37" t="s">
        <v>89</v>
      </c>
      <c r="AE37" s="3">
        <v>1.0603387698013597E-2</v>
      </c>
      <c r="AF37" s="20">
        <f>AE37/AE$152</f>
        <v>5.9072411102375015E-5</v>
      </c>
      <c r="AG37" s="20">
        <f t="shared" si="7"/>
        <v>9.3000547620040064E-4</v>
      </c>
      <c r="AH37" s="22">
        <f t="shared" si="5"/>
        <v>1.8009385412984264E-3</v>
      </c>
      <c r="AI37" s="24">
        <f t="shared" si="1"/>
        <v>6.6666666666666671E-3</v>
      </c>
      <c r="AJ37">
        <f>AH37*AI37/2</f>
        <v>6.003128470994755E-6</v>
      </c>
    </row>
    <row r="38" spans="1:36" x14ac:dyDescent="0.3">
      <c r="A38" t="s">
        <v>28</v>
      </c>
      <c r="B38" s="21">
        <v>19721971907.751312</v>
      </c>
      <c r="C38" s="22">
        <v>2.0785689351161037E-4</v>
      </c>
      <c r="D38" s="22">
        <f t="shared" si="2"/>
        <v>4.4261512724446993E-3</v>
      </c>
      <c r="E38" s="22">
        <f t="shared" si="3"/>
        <v>8.6444456513777891E-3</v>
      </c>
      <c r="F38" s="24">
        <f>1/150</f>
        <v>6.6666666666666671E-3</v>
      </c>
      <c r="G38">
        <f>E38*F38/2</f>
        <v>2.8814818837925964E-5</v>
      </c>
      <c r="M38" s="27" t="s">
        <v>151</v>
      </c>
      <c r="N38" s="3">
        <v>2.2501245894119996E-2</v>
      </c>
      <c r="O38" s="20">
        <v>1.0177917931662858E-5</v>
      </c>
      <c r="P38" s="20">
        <f t="shared" si="4"/>
        <v>1.6243198101110554E-4</v>
      </c>
      <c r="Q38" s="22">
        <f t="shared" si="6"/>
        <v>3.1468604409054822E-4</v>
      </c>
      <c r="R38" s="24">
        <f>1/150</f>
        <v>6.6666666666666671E-3</v>
      </c>
      <c r="S38">
        <f>Q38*R38/2</f>
        <v>1.0489534803018275E-6</v>
      </c>
      <c r="V38" t="s">
        <v>122</v>
      </c>
      <c r="W38" s="3">
        <v>3.9958582419999996E-4</v>
      </c>
      <c r="X38" s="20">
        <f>W38/W$152</f>
        <v>1.9671505687950868E-7</v>
      </c>
      <c r="Y38" s="20">
        <f t="shared" si="8"/>
        <v>3.1466891447883538E-7</v>
      </c>
      <c r="Z38" s="22">
        <f t="shared" si="9"/>
        <v>4.326227720781621E-7</v>
      </c>
      <c r="AA38" s="24">
        <f t="shared" si="0"/>
        <v>6.6666666666666671E-3</v>
      </c>
      <c r="AB38" s="10">
        <f>Z38*AA38/2</f>
        <v>1.4420759069272071E-9</v>
      </c>
      <c r="AD38" t="s">
        <v>79</v>
      </c>
      <c r="AE38" s="3">
        <v>1.0673845574565799E-2</v>
      </c>
      <c r="AF38" s="20">
        <f>AE38/AE$152</f>
        <v>5.9464938167085832E-5</v>
      </c>
      <c r="AG38" s="20">
        <f t="shared" si="7"/>
        <v>9.8947041436748639E-4</v>
      </c>
      <c r="AH38" s="22">
        <f t="shared" si="5"/>
        <v>1.9194758905678871E-3</v>
      </c>
      <c r="AI38" s="24">
        <f t="shared" si="1"/>
        <v>6.6666666666666671E-3</v>
      </c>
      <c r="AJ38">
        <f>AH38*AI38/2</f>
        <v>6.3982529685596244E-6</v>
      </c>
    </row>
    <row r="39" spans="1:36" x14ac:dyDescent="0.3">
      <c r="A39" t="s">
        <v>153</v>
      </c>
      <c r="B39" s="21">
        <v>20973160980.921219</v>
      </c>
      <c r="C39" s="22">
        <v>2.2104362124660695E-4</v>
      </c>
      <c r="D39" s="22">
        <f t="shared" si="2"/>
        <v>4.6471948936913062E-3</v>
      </c>
      <c r="E39" s="22">
        <f t="shared" si="3"/>
        <v>9.0733461661360055E-3</v>
      </c>
      <c r="F39" s="24">
        <f>1/150</f>
        <v>6.6666666666666671E-3</v>
      </c>
      <c r="G39">
        <f>E39*F39/2</f>
        <v>3.0244487220453355E-5</v>
      </c>
      <c r="M39" s="27" t="s">
        <v>123</v>
      </c>
      <c r="N39" s="3">
        <v>2.9223926835096004E-2</v>
      </c>
      <c r="O39" s="20">
        <v>1.3218767101525406E-5</v>
      </c>
      <c r="P39" s="20">
        <f t="shared" si="4"/>
        <v>1.7565074811263094E-4</v>
      </c>
      <c r="Q39" s="22">
        <f t="shared" si="6"/>
        <v>3.380827291237365E-4</v>
      </c>
      <c r="R39" s="24">
        <f>1/150</f>
        <v>6.6666666666666671E-3</v>
      </c>
      <c r="S39">
        <f>Q39*R39/2</f>
        <v>1.126942430412455E-6</v>
      </c>
      <c r="V39" t="s">
        <v>106</v>
      </c>
      <c r="W39" s="3">
        <v>1.5949158622000001E-3</v>
      </c>
      <c r="X39" s="20">
        <f>W39/W$152</f>
        <v>7.851729104225407E-7</v>
      </c>
      <c r="Y39" s="20">
        <f t="shared" si="8"/>
        <v>1.0998418249013762E-6</v>
      </c>
      <c r="Z39" s="22">
        <f t="shared" si="9"/>
        <v>1.4145107393802116E-6</v>
      </c>
      <c r="AA39" s="24">
        <f t="shared" si="0"/>
        <v>6.6666666666666671E-3</v>
      </c>
      <c r="AB39" s="10">
        <f>Z39*AA39/2</f>
        <v>4.7150357979340389E-9</v>
      </c>
      <c r="AD39" t="s">
        <v>153</v>
      </c>
      <c r="AE39" s="3">
        <v>1.1807325054497999E-2</v>
      </c>
      <c r="AF39" s="20">
        <f>AE39/AE$152</f>
        <v>6.577965264529025E-5</v>
      </c>
      <c r="AG39" s="20">
        <f t="shared" si="7"/>
        <v>1.0552500670127766E-3</v>
      </c>
      <c r="AH39" s="22">
        <f t="shared" si="5"/>
        <v>2.0447204813802628E-3</v>
      </c>
      <c r="AI39" s="24">
        <f t="shared" si="1"/>
        <v>6.6666666666666671E-3</v>
      </c>
      <c r="AJ39">
        <f>AH39*AI39/2</f>
        <v>6.8157349379342094E-6</v>
      </c>
    </row>
    <row r="40" spans="1:36" x14ac:dyDescent="0.3">
      <c r="A40" t="s">
        <v>125</v>
      </c>
      <c r="B40" s="21">
        <v>21142284373.384182</v>
      </c>
      <c r="C40" s="22">
        <v>2.2282607297820486E-4</v>
      </c>
      <c r="D40" s="22">
        <f t="shared" si="2"/>
        <v>4.870020966669511E-3</v>
      </c>
      <c r="E40" s="22">
        <f t="shared" si="3"/>
        <v>9.5172158603608163E-3</v>
      </c>
      <c r="F40" s="24">
        <f>1/150</f>
        <v>6.6666666666666671E-3</v>
      </c>
      <c r="G40">
        <f>E40*F40/2</f>
        <v>3.1724052867869387E-5</v>
      </c>
      <c r="M40" s="27" t="s">
        <v>50</v>
      </c>
      <c r="N40" s="3">
        <v>3.7033804741999993E-2</v>
      </c>
      <c r="O40" s="20">
        <v>1.67513846626511E-5</v>
      </c>
      <c r="P40" s="20">
        <f t="shared" si="4"/>
        <v>1.9240213277528203E-4</v>
      </c>
      <c r="Q40" s="22">
        <f t="shared" si="6"/>
        <v>3.6805288088791297E-4</v>
      </c>
      <c r="R40" s="24">
        <f>1/150</f>
        <v>6.6666666666666671E-3</v>
      </c>
      <c r="S40">
        <f>Q40*R40/2</f>
        <v>1.2268429362930433E-6</v>
      </c>
      <c r="V40" t="s">
        <v>140</v>
      </c>
      <c r="W40" s="3">
        <v>1.672448699E-3</v>
      </c>
      <c r="X40" s="20">
        <f>W40/W$152</f>
        <v>8.2334212333612939E-7</v>
      </c>
      <c r="Y40" s="20">
        <f t="shared" si="8"/>
        <v>1.9231839482375058E-6</v>
      </c>
      <c r="Z40" s="22">
        <f t="shared" si="9"/>
        <v>3.023025773138882E-6</v>
      </c>
      <c r="AA40" s="24">
        <f t="shared" si="0"/>
        <v>6.6666666666666671E-3</v>
      </c>
      <c r="AB40" s="10">
        <f>Z40*AA40/2</f>
        <v>1.0076752577129608E-8</v>
      </c>
      <c r="AD40" t="s">
        <v>112</v>
      </c>
      <c r="AE40" s="3">
        <v>1.2604965379937999E-2</v>
      </c>
      <c r="AF40" s="20">
        <f>AE40/AE$152</f>
        <v>7.0223377477218342E-5</v>
      </c>
      <c r="AG40" s="20">
        <f t="shared" si="7"/>
        <v>1.125473444489995E-3</v>
      </c>
      <c r="AH40" s="22">
        <f t="shared" si="5"/>
        <v>2.1807235115027714E-3</v>
      </c>
      <c r="AI40" s="24">
        <f t="shared" si="1"/>
        <v>6.6666666666666671E-3</v>
      </c>
      <c r="AJ40">
        <f>AH40*AI40/2</f>
        <v>7.2690783716759052E-6</v>
      </c>
    </row>
    <row r="41" spans="1:36" x14ac:dyDescent="0.3">
      <c r="A41" t="s">
        <v>70</v>
      </c>
      <c r="B41" s="21">
        <v>21296271621.874783</v>
      </c>
      <c r="C41" s="22">
        <v>2.2444899949191095E-4</v>
      </c>
      <c r="D41" s="22">
        <f t="shared" si="2"/>
        <v>5.0944699661614216E-3</v>
      </c>
      <c r="E41" s="22">
        <f t="shared" si="3"/>
        <v>9.9644909328309335E-3</v>
      </c>
      <c r="F41" s="24">
        <f>1/150</f>
        <v>6.6666666666666671E-3</v>
      </c>
      <c r="G41">
        <f>E41*F41/2</f>
        <v>3.3214969776103115E-5</v>
      </c>
      <c r="M41" s="27" t="s">
        <v>71</v>
      </c>
      <c r="N41" s="3">
        <v>3.7261129333718994E-2</v>
      </c>
      <c r="O41" s="20">
        <v>1.6854209681730124E-5</v>
      </c>
      <c r="P41" s="20">
        <f t="shared" si="4"/>
        <v>2.0925634245701216E-4</v>
      </c>
      <c r="Q41" s="22">
        <f t="shared" si="6"/>
        <v>4.0165847523229421E-4</v>
      </c>
      <c r="R41" s="24">
        <f>1/150</f>
        <v>6.6666666666666671E-3</v>
      </c>
      <c r="S41">
        <f>Q41*R41/2</f>
        <v>1.3388615841076475E-6</v>
      </c>
      <c r="V41" t="s">
        <v>132</v>
      </c>
      <c r="W41" s="3">
        <v>1.6801693321999997E-3</v>
      </c>
      <c r="X41" s="20">
        <f>W41/W$152</f>
        <v>8.2714297088152085E-7</v>
      </c>
      <c r="Y41" s="20">
        <f t="shared" si="8"/>
        <v>2.7503269191190264E-6</v>
      </c>
      <c r="Z41" s="22">
        <f t="shared" si="9"/>
        <v>4.6735108673565322E-6</v>
      </c>
      <c r="AA41" s="24">
        <f t="shared" si="0"/>
        <v>6.6666666666666671E-3</v>
      </c>
      <c r="AB41" s="10">
        <f>Z41*AA41/2</f>
        <v>1.5578369557855109E-8</v>
      </c>
      <c r="AD41" t="s">
        <v>131</v>
      </c>
      <c r="AE41" s="3">
        <v>1.2655609174689997E-2</v>
      </c>
      <c r="AF41" s="20">
        <f>AE41/AE$152</f>
        <v>7.0505518538978713E-5</v>
      </c>
      <c r="AG41" s="20">
        <f t="shared" si="7"/>
        <v>1.1959789630289737E-3</v>
      </c>
      <c r="AH41" s="22">
        <f t="shared" si="5"/>
        <v>2.321452407518969E-3</v>
      </c>
      <c r="AI41" s="24">
        <f t="shared" si="1"/>
        <v>6.6666666666666671E-3</v>
      </c>
      <c r="AJ41">
        <f>AH41*AI41/2</f>
        <v>7.7381746917298973E-6</v>
      </c>
    </row>
    <row r="42" spans="1:36" x14ac:dyDescent="0.3">
      <c r="A42" t="s">
        <v>140</v>
      </c>
      <c r="B42" s="21">
        <v>22269531976.235027</v>
      </c>
      <c r="C42" s="22">
        <v>2.347065373680206E-4</v>
      </c>
      <c r="D42" s="22">
        <f t="shared" si="2"/>
        <v>5.3291765035294418E-3</v>
      </c>
      <c r="E42" s="22">
        <f t="shared" si="3"/>
        <v>1.0423646469690864E-2</v>
      </c>
      <c r="F42" s="24">
        <f>1/150</f>
        <v>6.6666666666666671E-3</v>
      </c>
      <c r="G42">
        <f>E42*F42/2</f>
        <v>3.474548823230288E-5</v>
      </c>
      <c r="M42" s="27" t="s">
        <v>5</v>
      </c>
      <c r="N42" s="3">
        <v>4.0821779117919996E-2</v>
      </c>
      <c r="O42" s="20">
        <v>1.8464787222970233E-5</v>
      </c>
      <c r="P42" s="20">
        <f t="shared" si="4"/>
        <v>2.2772112967998239E-4</v>
      </c>
      <c r="Q42" s="22">
        <f t="shared" si="6"/>
        <v>4.3697747213699455E-4</v>
      </c>
      <c r="R42" s="24">
        <f>1/150</f>
        <v>6.6666666666666671E-3</v>
      </c>
      <c r="S42">
        <f>Q42*R42/2</f>
        <v>1.4565915737899819E-6</v>
      </c>
      <c r="V42" t="s">
        <v>153</v>
      </c>
      <c r="W42" s="3">
        <v>2.2411704620000001E-3</v>
      </c>
      <c r="X42" s="20">
        <f>W42/W$152</f>
        <v>1.1033223608261448E-6</v>
      </c>
      <c r="Y42" s="20">
        <f t="shared" si="8"/>
        <v>3.8536492799451714E-6</v>
      </c>
      <c r="Z42" s="22">
        <f t="shared" si="9"/>
        <v>6.6039761990641979E-6</v>
      </c>
      <c r="AA42" s="24">
        <f t="shared" si="0"/>
        <v>6.6666666666666671E-3</v>
      </c>
      <c r="AB42" s="10">
        <f>Z42*AA42/2</f>
        <v>2.201325399688066E-8</v>
      </c>
      <c r="AD42" t="s">
        <v>144</v>
      </c>
      <c r="AE42" s="3">
        <v>1.293567814112E-2</v>
      </c>
      <c r="AF42" s="20">
        <f>AE42/AE$152</f>
        <v>7.2065807532756588E-5</v>
      </c>
      <c r="AG42" s="20">
        <f t="shared" si="7"/>
        <v>1.2680447705617304E-3</v>
      </c>
      <c r="AH42" s="22">
        <f t="shared" si="5"/>
        <v>2.4640237335907039E-3</v>
      </c>
      <c r="AI42" s="24">
        <f t="shared" si="1"/>
        <v>6.6666666666666671E-3</v>
      </c>
      <c r="AJ42">
        <f>AH42*AI42/2</f>
        <v>8.2134124453023469E-6</v>
      </c>
    </row>
    <row r="43" spans="1:36" x14ac:dyDescent="0.3">
      <c r="A43" t="s">
        <v>10</v>
      </c>
      <c r="B43" s="21">
        <v>22922580053.479584</v>
      </c>
      <c r="C43" s="22">
        <v>2.4158924388868215E-4</v>
      </c>
      <c r="D43" s="22">
        <f t="shared" si="2"/>
        <v>5.570765747418124E-3</v>
      </c>
      <c r="E43" s="22">
        <f t="shared" si="3"/>
        <v>1.0899942250947566E-2</v>
      </c>
      <c r="F43" s="24">
        <f>1/150</f>
        <v>6.6666666666666671E-3</v>
      </c>
      <c r="G43">
        <f>E43*F43/2</f>
        <v>3.6333140836491889E-5</v>
      </c>
      <c r="M43" s="27" t="s">
        <v>140</v>
      </c>
      <c r="N43" s="3">
        <v>4.2489707036288009E-2</v>
      </c>
      <c r="O43" s="20">
        <v>1.9219235823237078E-5</v>
      </c>
      <c r="P43" s="20">
        <f t="shared" si="4"/>
        <v>2.4694036550321945E-4</v>
      </c>
      <c r="Q43" s="22">
        <f t="shared" si="6"/>
        <v>4.7466149518320187E-4</v>
      </c>
      <c r="R43" s="24">
        <f>1/150</f>
        <v>6.6666666666666671E-3</v>
      </c>
      <c r="S43">
        <f>Q43*R43/2</f>
        <v>1.5822049839440064E-6</v>
      </c>
      <c r="V43" t="s">
        <v>152</v>
      </c>
      <c r="W43" s="3">
        <v>2.8017462579999998E-3</v>
      </c>
      <c r="X43" s="20">
        <f>W43/W$152</f>
        <v>1.3792923600526983E-6</v>
      </c>
      <c r="Y43" s="20">
        <f t="shared" si="8"/>
        <v>5.2329416399978695E-6</v>
      </c>
      <c r="Z43" s="22">
        <f t="shared" si="9"/>
        <v>9.0865909199430409E-6</v>
      </c>
      <c r="AA43" s="24">
        <f t="shared" si="0"/>
        <v>6.6666666666666671E-3</v>
      </c>
      <c r="AB43" s="10">
        <f>Z43*AA43/2</f>
        <v>3.0288636399810136E-8</v>
      </c>
      <c r="AD43" t="s">
        <v>5</v>
      </c>
      <c r="AE43" s="3">
        <v>1.3720808611919998E-2</v>
      </c>
      <c r="AF43" s="20">
        <f>AE43/AE$152</f>
        <v>7.6439838857555485E-5</v>
      </c>
      <c r="AG43" s="20">
        <f t="shared" si="7"/>
        <v>1.3444846094192858E-3</v>
      </c>
      <c r="AH43" s="22">
        <f t="shared" si="5"/>
        <v>2.612529379981016E-3</v>
      </c>
      <c r="AI43" s="24">
        <f t="shared" si="1"/>
        <v>6.6666666666666671E-3</v>
      </c>
      <c r="AJ43">
        <f>AH43*AI43/2</f>
        <v>8.7084312666033874E-6</v>
      </c>
    </row>
    <row r="44" spans="1:36" x14ac:dyDescent="0.3">
      <c r="A44" t="s">
        <v>121</v>
      </c>
      <c r="B44" s="21">
        <v>23582865676.396053</v>
      </c>
      <c r="C44" s="22">
        <v>2.4854822948361925E-4</v>
      </c>
      <c r="D44" s="22">
        <f t="shared" si="2"/>
        <v>5.8193139769017431E-3</v>
      </c>
      <c r="E44" s="22">
        <f t="shared" si="3"/>
        <v>1.1390079724319867E-2</v>
      </c>
      <c r="F44" s="24">
        <f>1/150</f>
        <v>6.6666666666666671E-3</v>
      </c>
      <c r="G44">
        <f>E44*F44/2</f>
        <v>3.7966932414399558E-5</v>
      </c>
      <c r="M44" s="27" t="s">
        <v>141</v>
      </c>
      <c r="N44" s="3">
        <v>4.5768191690880006E-2</v>
      </c>
      <c r="O44" s="20">
        <v>2.0702182497019845E-5</v>
      </c>
      <c r="P44" s="20">
        <f t="shared" si="4"/>
        <v>2.6764254800023927E-4</v>
      </c>
      <c r="Q44" s="22">
        <f t="shared" si="6"/>
        <v>5.1458291350345872E-4</v>
      </c>
      <c r="R44" s="24">
        <f>1/150</f>
        <v>6.6666666666666671E-3</v>
      </c>
      <c r="S44">
        <f>Q44*R44/2</f>
        <v>1.7152763783448625E-6</v>
      </c>
      <c r="V44" t="s">
        <v>112</v>
      </c>
      <c r="W44" s="3">
        <v>3.602772252E-3</v>
      </c>
      <c r="X44" s="20">
        <f>W44/W$152</f>
        <v>1.7736353633040009E-6</v>
      </c>
      <c r="Y44" s="20">
        <f t="shared" si="8"/>
        <v>7.0065770033018703E-6</v>
      </c>
      <c r="Z44" s="22">
        <f t="shared" si="9"/>
        <v>1.2239518643299741E-5</v>
      </c>
      <c r="AA44" s="24">
        <f t="shared" si="0"/>
        <v>6.6666666666666671E-3</v>
      </c>
      <c r="AB44" s="10">
        <f>Z44*AA44/2</f>
        <v>4.0798395477665804E-8</v>
      </c>
      <c r="AD44" t="s">
        <v>128</v>
      </c>
      <c r="AE44" s="3">
        <v>1.4831445499263999E-2</v>
      </c>
      <c r="AF44" s="20">
        <f>AE44/AE$152</f>
        <v>8.26272952312329E-5</v>
      </c>
      <c r="AG44" s="20">
        <f t="shared" si="7"/>
        <v>1.4271119046505188E-3</v>
      </c>
      <c r="AH44" s="22">
        <f t="shared" si="5"/>
        <v>2.7715965140698044E-3</v>
      </c>
      <c r="AI44" s="24">
        <f t="shared" si="1"/>
        <v>6.6666666666666671E-3</v>
      </c>
      <c r="AJ44">
        <f>AH44*AI44/2</f>
        <v>9.238655046899349E-6</v>
      </c>
    </row>
    <row r="45" spans="1:36" x14ac:dyDescent="0.3">
      <c r="A45" t="s">
        <v>71</v>
      </c>
      <c r="B45" s="21">
        <v>25186857750.188026</v>
      </c>
      <c r="C45" s="22">
        <v>2.654532738288355E-4</v>
      </c>
      <c r="D45" s="22">
        <f t="shared" si="2"/>
        <v>6.0847672507305783E-3</v>
      </c>
      <c r="E45" s="22">
        <f t="shared" si="3"/>
        <v>1.1904081227632321E-2</v>
      </c>
      <c r="F45" s="24">
        <f>1/150</f>
        <v>6.6666666666666671E-3</v>
      </c>
      <c r="G45">
        <f>E45*F45/2</f>
        <v>3.9680270758774409E-5</v>
      </c>
      <c r="M45" s="27" t="s">
        <v>154</v>
      </c>
      <c r="N45" s="3">
        <v>4.6973357684840004E-2</v>
      </c>
      <c r="O45" s="20">
        <v>2.1247311448468756E-5</v>
      </c>
      <c r="P45" s="20">
        <f t="shared" si="4"/>
        <v>2.8888985944870802E-4</v>
      </c>
      <c r="Q45" s="22">
        <f t="shared" si="6"/>
        <v>5.5653240744894729E-4</v>
      </c>
      <c r="R45" s="24">
        <f>1/150</f>
        <v>6.6666666666666671E-3</v>
      </c>
      <c r="S45">
        <f>Q45*R45/2</f>
        <v>1.8551080248298243E-6</v>
      </c>
      <c r="V45" t="s">
        <v>109</v>
      </c>
      <c r="W45" s="3">
        <v>3.7591635159999995E-3</v>
      </c>
      <c r="X45" s="20">
        <f>W45/W$152</f>
        <v>1.8506263738204801E-6</v>
      </c>
      <c r="Y45" s="20">
        <f t="shared" si="8"/>
        <v>8.85720337712235E-6</v>
      </c>
      <c r="Z45" s="22">
        <f t="shared" si="9"/>
        <v>1.5863780380424222E-5</v>
      </c>
      <c r="AA45" s="24">
        <f t="shared" si="0"/>
        <v>6.6666666666666671E-3</v>
      </c>
      <c r="AB45" s="10">
        <f>Z45*AA45/2</f>
        <v>5.2879267934747413E-8</v>
      </c>
      <c r="AD45" t="s">
        <v>46</v>
      </c>
      <c r="AE45" s="3">
        <v>1.5238666601853999E-2</v>
      </c>
      <c r="AF45" s="20">
        <f>AE45/AE$152</f>
        <v>8.4895960026566699E-5</v>
      </c>
      <c r="AG45" s="20">
        <f t="shared" si="7"/>
        <v>1.5120078646770855E-3</v>
      </c>
      <c r="AH45" s="22">
        <f t="shared" si="5"/>
        <v>2.9391197693276042E-3</v>
      </c>
      <c r="AI45" s="24">
        <f t="shared" si="1"/>
        <v>6.6666666666666671E-3</v>
      </c>
      <c r="AJ45">
        <f>AH45*AI45/2</f>
        <v>9.7970658977586815E-6</v>
      </c>
    </row>
    <row r="46" spans="1:36" x14ac:dyDescent="0.3">
      <c r="A46" t="s">
        <v>111</v>
      </c>
      <c r="B46" s="21">
        <v>27125951106.419441</v>
      </c>
      <c r="C46" s="22">
        <v>2.8589007006506038E-4</v>
      </c>
      <c r="D46" s="22">
        <f t="shared" si="2"/>
        <v>6.3706573207956384E-3</v>
      </c>
      <c r="E46" s="22">
        <f t="shared" si="3"/>
        <v>1.2455424571526217E-2</v>
      </c>
      <c r="F46" s="24">
        <f>1/150</f>
        <v>6.6666666666666671E-3</v>
      </c>
      <c r="G46">
        <f>E46*F46/2</f>
        <v>4.1518081905087392E-5</v>
      </c>
      <c r="M46" s="27" t="s">
        <v>114</v>
      </c>
      <c r="N46" s="3">
        <v>4.7382236961242004E-2</v>
      </c>
      <c r="O46" s="20">
        <v>2.1432258528233114E-5</v>
      </c>
      <c r="P46" s="20">
        <f t="shared" si="4"/>
        <v>3.1032211797694112E-4</v>
      </c>
      <c r="Q46" s="22">
        <f t="shared" si="6"/>
        <v>5.992119774256492E-4</v>
      </c>
      <c r="R46" s="24">
        <f>1/150</f>
        <v>6.6666666666666671E-3</v>
      </c>
      <c r="S46">
        <f>Q46*R46/2</f>
        <v>1.9973732580854973E-6</v>
      </c>
      <c r="V46" t="s">
        <v>148</v>
      </c>
      <c r="W46" s="3">
        <v>4.4021787959999999E-3</v>
      </c>
      <c r="X46" s="20">
        <f>W46/W$152</f>
        <v>2.1671811155529655E-6</v>
      </c>
      <c r="Y46" s="20">
        <f t="shared" si="8"/>
        <v>1.1024384492675316E-5</v>
      </c>
      <c r="Z46" s="22">
        <f t="shared" si="9"/>
        <v>1.9881587869797666E-5</v>
      </c>
      <c r="AA46" s="24">
        <f t="shared" si="0"/>
        <v>6.6666666666666671E-3</v>
      </c>
      <c r="AB46" s="10">
        <f>Z46*AA46/2</f>
        <v>6.6271959565992229E-8</v>
      </c>
      <c r="AD46" t="s">
        <v>150</v>
      </c>
      <c r="AE46" s="3">
        <v>1.564489989396E-2</v>
      </c>
      <c r="AF46" s="20">
        <f>AE46/AE$152</f>
        <v>8.7159121642288104E-5</v>
      </c>
      <c r="AG46" s="20">
        <f t="shared" si="7"/>
        <v>1.5991669863193736E-3</v>
      </c>
      <c r="AH46" s="22">
        <f t="shared" si="5"/>
        <v>3.111174850996459E-3</v>
      </c>
      <c r="AI46" s="24">
        <f t="shared" si="1"/>
        <v>6.6666666666666671E-3</v>
      </c>
      <c r="AJ46">
        <f>AH46*AI46/2</f>
        <v>1.0370582836654863E-5</v>
      </c>
    </row>
    <row r="47" spans="1:36" x14ac:dyDescent="0.3">
      <c r="A47" t="s">
        <v>51</v>
      </c>
      <c r="B47" s="21">
        <v>27454923839.268162</v>
      </c>
      <c r="C47" s="22">
        <v>2.8935723098688914E-4</v>
      </c>
      <c r="D47" s="22">
        <f t="shared" si="2"/>
        <v>6.6600145517825273E-3</v>
      </c>
      <c r="E47" s="22">
        <f t="shared" si="3"/>
        <v>1.3030671872578167E-2</v>
      </c>
      <c r="F47" s="24">
        <f>1/150</f>
        <v>6.6666666666666671E-3</v>
      </c>
      <c r="G47">
        <f>E47*F47/2</f>
        <v>4.343557290859389E-5</v>
      </c>
      <c r="M47" s="27" t="s">
        <v>6</v>
      </c>
      <c r="N47" s="3">
        <v>4.7566801773569992E-2</v>
      </c>
      <c r="O47" s="20">
        <v>2.1515742150508356E-5</v>
      </c>
      <c r="P47" s="20">
        <f t="shared" si="4"/>
        <v>3.3183786012744949E-4</v>
      </c>
      <c r="Q47" s="22">
        <f t="shared" si="6"/>
        <v>6.4215997810439067E-4</v>
      </c>
      <c r="R47" s="24">
        <f>1/150</f>
        <v>6.6666666666666671E-3</v>
      </c>
      <c r="S47">
        <f>Q47*R47/2</f>
        <v>2.1405332603479692E-6</v>
      </c>
      <c r="V47" t="s">
        <v>26</v>
      </c>
      <c r="W47" s="3">
        <v>4.7169035000000003E-3</v>
      </c>
      <c r="X47" s="20">
        <f>W47/W$152</f>
        <v>2.3221192647545723E-6</v>
      </c>
      <c r="Y47" s="20">
        <f t="shared" si="8"/>
        <v>1.3346503757429889E-5</v>
      </c>
      <c r="Z47" s="22">
        <f t="shared" si="9"/>
        <v>2.4370888250105205E-5</v>
      </c>
      <c r="AA47" s="24">
        <f t="shared" si="0"/>
        <v>6.6666666666666671E-3</v>
      </c>
      <c r="AB47" s="10">
        <f>Z47*AA47/2</f>
        <v>8.1236294167017356E-8</v>
      </c>
      <c r="AD47" t="s">
        <v>138</v>
      </c>
      <c r="AE47" s="3">
        <v>1.5916255531156002E-2</v>
      </c>
      <c r="AF47" s="20">
        <f>AE47/AE$152</f>
        <v>8.8670867907907736E-5</v>
      </c>
      <c r="AG47" s="20">
        <f t="shared" si="7"/>
        <v>1.6878378542272813E-3</v>
      </c>
      <c r="AH47" s="22">
        <f t="shared" si="5"/>
        <v>3.2870048405466549E-3</v>
      </c>
      <c r="AI47" s="24">
        <f t="shared" si="1"/>
        <v>6.6666666666666671E-3</v>
      </c>
      <c r="AJ47">
        <f>AH47*AI47/2</f>
        <v>1.0956682801822183E-5</v>
      </c>
    </row>
    <row r="48" spans="1:36" x14ac:dyDescent="0.3">
      <c r="A48" t="s">
        <v>40</v>
      </c>
      <c r="B48" s="21">
        <v>27554054399.259132</v>
      </c>
      <c r="C48" s="22">
        <v>2.9040200330216105E-4</v>
      </c>
      <c r="D48" s="22">
        <f t="shared" si="2"/>
        <v>6.9504165550846883E-3</v>
      </c>
      <c r="E48" s="22">
        <f t="shared" si="3"/>
        <v>1.3610431106867216E-2</v>
      </c>
      <c r="F48" s="24">
        <f>1/150</f>
        <v>6.6666666666666671E-3</v>
      </c>
      <c r="G48">
        <f>E48*F48/2</f>
        <v>4.5368103689557391E-5</v>
      </c>
      <c r="M48" s="27" t="s">
        <v>121</v>
      </c>
      <c r="N48" s="3">
        <v>4.7838551122026E-2</v>
      </c>
      <c r="O48" s="20">
        <v>2.1638661680368292E-5</v>
      </c>
      <c r="P48" s="20">
        <f t="shared" si="4"/>
        <v>3.534765218078178E-4</v>
      </c>
      <c r="Q48" s="22">
        <f t="shared" si="6"/>
        <v>6.8531438193526729E-4</v>
      </c>
      <c r="R48" s="24">
        <f>1/150</f>
        <v>6.6666666666666671E-3</v>
      </c>
      <c r="S48">
        <f>Q48*R48/2</f>
        <v>2.2843812731175578E-6</v>
      </c>
      <c r="V48" t="s">
        <v>8</v>
      </c>
      <c r="W48" s="3">
        <v>5.4425649199999994E-3</v>
      </c>
      <c r="X48" s="20">
        <f>W48/W$152</f>
        <v>2.6793604852016636E-6</v>
      </c>
      <c r="Y48" s="20">
        <f t="shared" si="8"/>
        <v>1.6025864242631551E-5</v>
      </c>
      <c r="Z48" s="22">
        <f t="shared" si="9"/>
        <v>2.937236800006144E-5</v>
      </c>
      <c r="AA48" s="24">
        <f t="shared" si="0"/>
        <v>6.6666666666666671E-3</v>
      </c>
      <c r="AB48" s="10">
        <f>Z48*AA48/2</f>
        <v>9.7907893333538137E-8</v>
      </c>
      <c r="AD48" t="s">
        <v>137</v>
      </c>
      <c r="AE48" s="3">
        <v>1.7077774883251202E-2</v>
      </c>
      <c r="AF48" s="20">
        <f>AE48/AE$152</f>
        <v>9.5141794995029689E-5</v>
      </c>
      <c r="AG48" s="20">
        <f t="shared" si="7"/>
        <v>1.782979649222311E-3</v>
      </c>
      <c r="AH48" s="22">
        <f t="shared" si="5"/>
        <v>3.4708175034495921E-3</v>
      </c>
      <c r="AI48" s="24">
        <f t="shared" si="1"/>
        <v>6.6666666666666671E-3</v>
      </c>
      <c r="AJ48">
        <f>AH48*AI48/2</f>
        <v>1.1569391678165308E-5</v>
      </c>
    </row>
    <row r="49" spans="1:36" x14ac:dyDescent="0.3">
      <c r="A49" t="s">
        <v>110</v>
      </c>
      <c r="B49" s="21">
        <v>27858556649.763664</v>
      </c>
      <c r="C49" s="22">
        <v>2.9361126108597781E-4</v>
      </c>
      <c r="D49" s="22">
        <f t="shared" si="2"/>
        <v>7.2440278161706659E-3</v>
      </c>
      <c r="E49" s="22">
        <f t="shared" si="3"/>
        <v>1.4194444371255353E-2</v>
      </c>
      <c r="F49" s="24">
        <f>1/150</f>
        <v>6.6666666666666671E-3</v>
      </c>
      <c r="G49">
        <f>E49*F49/2</f>
        <v>4.7314814570851182E-5</v>
      </c>
      <c r="M49" s="27" t="s">
        <v>106</v>
      </c>
      <c r="N49" s="3">
        <v>4.9581956665958618E-2</v>
      </c>
      <c r="O49" s="20">
        <v>2.2427250838108626E-5</v>
      </c>
      <c r="P49" s="20">
        <f t="shared" si="4"/>
        <v>3.7590377264592643E-4</v>
      </c>
      <c r="Q49" s="22">
        <f t="shared" si="6"/>
        <v>7.2938029445374422E-4</v>
      </c>
      <c r="R49" s="24">
        <f>1/150</f>
        <v>6.6666666666666671E-3</v>
      </c>
      <c r="S49">
        <f>Q49*R49/2</f>
        <v>2.4312676481791478E-6</v>
      </c>
      <c r="V49" t="s">
        <v>121</v>
      </c>
      <c r="W49" s="3">
        <v>7.3587631599999993E-3</v>
      </c>
      <c r="X49" s="20">
        <f>W49/W$152</f>
        <v>3.6226998704981411E-6</v>
      </c>
      <c r="Y49" s="20">
        <f t="shared" si="8"/>
        <v>1.9648564113129692E-5</v>
      </c>
      <c r="Z49" s="22">
        <f t="shared" si="9"/>
        <v>3.5674428355761246E-5</v>
      </c>
      <c r="AA49" s="24">
        <f t="shared" si="0"/>
        <v>6.6666666666666671E-3</v>
      </c>
      <c r="AB49" s="10">
        <f>Z49*AA49/2</f>
        <v>1.1891476118587083E-7</v>
      </c>
      <c r="AD49" t="s">
        <v>40</v>
      </c>
      <c r="AE49" s="3">
        <v>1.7522790798800002E-2</v>
      </c>
      <c r="AF49" s="20">
        <f>AE49/AE$152</f>
        <v>9.7621018037616654E-5</v>
      </c>
      <c r="AG49" s="20">
        <f t="shared" si="7"/>
        <v>1.8806006672599277E-3</v>
      </c>
      <c r="AH49" s="22">
        <f t="shared" si="5"/>
        <v>3.6635803164822385E-3</v>
      </c>
      <c r="AI49" s="24">
        <f t="shared" si="1"/>
        <v>6.6666666666666671E-3</v>
      </c>
      <c r="AJ49">
        <f>AH49*AI49/2</f>
        <v>1.2211934388274128E-5</v>
      </c>
    </row>
    <row r="50" spans="1:36" x14ac:dyDescent="0.3">
      <c r="A50" t="s">
        <v>129</v>
      </c>
      <c r="B50" s="21">
        <v>27973016519.321728</v>
      </c>
      <c r="C50" s="22">
        <v>2.9481759446021473E-4</v>
      </c>
      <c r="D50" s="22">
        <f t="shared" si="2"/>
        <v>7.5388454106308806E-3</v>
      </c>
      <c r="E50" s="22">
        <f t="shared" si="3"/>
        <v>1.4782873226801546E-2</v>
      </c>
      <c r="F50" s="24">
        <f>1/150</f>
        <v>6.6666666666666671E-3</v>
      </c>
      <c r="G50">
        <f>E50*F50/2</f>
        <v>4.9276244089338491E-5</v>
      </c>
      <c r="M50" s="27" t="s">
        <v>22</v>
      </c>
      <c r="N50" s="3">
        <v>6.3903016627088569E-2</v>
      </c>
      <c r="O50" s="20">
        <v>2.8905050941475036E-5</v>
      </c>
      <c r="P50" s="20">
        <f t="shared" si="4"/>
        <v>4.0480882358740145E-4</v>
      </c>
      <c r="Q50" s="22">
        <f t="shared" si="6"/>
        <v>7.8071259623332793E-4</v>
      </c>
      <c r="R50" s="24">
        <f>1/150</f>
        <v>6.6666666666666671E-3</v>
      </c>
      <c r="S50">
        <f>Q50*R50/2</f>
        <v>2.6023753207777597E-6</v>
      </c>
      <c r="V50" t="s">
        <v>151</v>
      </c>
      <c r="W50" s="3">
        <v>1.2446408865999998E-2</v>
      </c>
      <c r="X50" s="20">
        <f>W50/W$152</f>
        <v>6.1273345542792434E-6</v>
      </c>
      <c r="Y50" s="20">
        <f t="shared" si="8"/>
        <v>2.5775898667408934E-5</v>
      </c>
      <c r="Z50" s="22">
        <f t="shared" si="9"/>
        <v>4.5424462780538626E-5</v>
      </c>
      <c r="AA50" s="24">
        <f t="shared" si="0"/>
        <v>6.6666666666666671E-3</v>
      </c>
      <c r="AB50" s="10">
        <f>Z50*AA50/2</f>
        <v>1.5141487593512877E-7</v>
      </c>
      <c r="AD50" t="s">
        <v>99</v>
      </c>
      <c r="AE50" s="3">
        <v>1.8391596219576402E-2</v>
      </c>
      <c r="AF50" s="20">
        <f>AE50/AE$152</f>
        <v>1.0246120991268032E-4</v>
      </c>
      <c r="AG50" s="20">
        <f t="shared" si="7"/>
        <v>1.9830618771726079E-3</v>
      </c>
      <c r="AH50" s="22">
        <f t="shared" si="5"/>
        <v>3.8636625444325359E-3</v>
      </c>
      <c r="AI50" s="24">
        <f t="shared" si="1"/>
        <v>6.6666666666666671E-3</v>
      </c>
      <c r="AJ50">
        <f>AH50*AI50/2</f>
        <v>1.2878875148108454E-5</v>
      </c>
    </row>
    <row r="51" spans="1:36" x14ac:dyDescent="0.3">
      <c r="A51" t="s">
        <v>134</v>
      </c>
      <c r="B51" s="21">
        <v>28634291574.827019</v>
      </c>
      <c r="C51" s="22">
        <v>3.0178700803797293E-4</v>
      </c>
      <c r="D51" s="22">
        <f t="shared" si="2"/>
        <v>7.8406324186688532E-3</v>
      </c>
      <c r="E51" s="22">
        <f t="shared" si="3"/>
        <v>1.5379477829299734E-2</v>
      </c>
      <c r="F51" s="24">
        <f>1/150</f>
        <v>6.6666666666666671E-3</v>
      </c>
      <c r="G51">
        <f>E51*F51/2</f>
        <v>5.1264926097665781E-5</v>
      </c>
      <c r="M51" s="27" t="s">
        <v>82</v>
      </c>
      <c r="N51" s="3">
        <v>7.3486131659568202E-2</v>
      </c>
      <c r="O51" s="20">
        <v>3.3239751286034643E-5</v>
      </c>
      <c r="P51" s="20">
        <f t="shared" si="4"/>
        <v>4.3804857487343609E-4</v>
      </c>
      <c r="Q51" s="22">
        <f t="shared" si="6"/>
        <v>8.4285739846083748E-4</v>
      </c>
      <c r="R51" s="24">
        <f>1/150</f>
        <v>6.6666666666666671E-3</v>
      </c>
      <c r="S51">
        <f>Q51*R51/2</f>
        <v>2.8095246615361252E-6</v>
      </c>
      <c r="V51" t="s">
        <v>135</v>
      </c>
      <c r="W51" s="3">
        <v>1.4410333413999998E-2</v>
      </c>
      <c r="X51" s="20">
        <f>W51/W$152</f>
        <v>7.094169476264655E-6</v>
      </c>
      <c r="Y51" s="20">
        <f t="shared" si="8"/>
        <v>3.2870068143673588E-5</v>
      </c>
      <c r="Z51" s="22">
        <f t="shared" si="9"/>
        <v>5.8645966811082519E-5</v>
      </c>
      <c r="AA51" s="24">
        <f t="shared" si="0"/>
        <v>6.6666666666666671E-3</v>
      </c>
      <c r="AB51" s="10">
        <f>Z51*AA51/2</f>
        <v>1.9548655603694174E-7</v>
      </c>
      <c r="AD51" t="s">
        <v>115</v>
      </c>
      <c r="AE51" s="3">
        <v>1.8540099329353795E-2</v>
      </c>
      <c r="AF51" s="20">
        <f>AE51/AE$152</f>
        <v>1.0328853387749156E-4</v>
      </c>
      <c r="AG51" s="20">
        <f t="shared" si="7"/>
        <v>2.0863504110500996E-3</v>
      </c>
      <c r="AH51" s="22">
        <f t="shared" si="5"/>
        <v>4.0694122882227075E-3</v>
      </c>
      <c r="AI51" s="24">
        <f t="shared" si="1"/>
        <v>6.6666666666666671E-3</v>
      </c>
      <c r="AJ51">
        <f>AH51*AI51/2</f>
        <v>1.3564707627409025E-5</v>
      </c>
    </row>
    <row r="52" spans="1:36" x14ac:dyDescent="0.3">
      <c r="A52" t="s">
        <v>93</v>
      </c>
      <c r="B52" s="21">
        <v>29062047321.266548</v>
      </c>
      <c r="C52" s="22">
        <v>3.0629527835964983E-4</v>
      </c>
      <c r="D52" s="22">
        <f t="shared" si="2"/>
        <v>8.1469276970285026E-3</v>
      </c>
      <c r="E52" s="22">
        <f t="shared" si="3"/>
        <v>1.5987560115697356E-2</v>
      </c>
      <c r="F52" s="24">
        <f>1/150</f>
        <v>6.6666666666666671E-3</v>
      </c>
      <c r="G52">
        <f>E52*F52/2</f>
        <v>5.3291867052324525E-5</v>
      </c>
      <c r="M52" s="27" t="s">
        <v>84</v>
      </c>
      <c r="N52" s="3">
        <v>7.7829006893695998E-2</v>
      </c>
      <c r="O52" s="20">
        <v>3.5204150409905136E-5</v>
      </c>
      <c r="P52" s="20">
        <f t="shared" si="4"/>
        <v>4.7325272528334121E-4</v>
      </c>
      <c r="Q52" s="22">
        <f t="shared" si="6"/>
        <v>9.1130130015677725E-4</v>
      </c>
      <c r="R52" s="24">
        <f>1/150</f>
        <v>6.6666666666666671E-3</v>
      </c>
      <c r="S52">
        <f>Q52*R52/2</f>
        <v>3.0376710005225909E-6</v>
      </c>
      <c r="V52" t="s">
        <v>91</v>
      </c>
      <c r="W52" s="3">
        <v>1.5164068986000001E-2</v>
      </c>
      <c r="X52" s="20">
        <f>W52/W$152</f>
        <v>7.4652315283655753E-6</v>
      </c>
      <c r="Y52" s="20">
        <f t="shared" si="8"/>
        <v>4.0335299672039163E-5</v>
      </c>
      <c r="Z52" s="22">
        <f t="shared" si="9"/>
        <v>7.3205367815712744E-5</v>
      </c>
      <c r="AA52" s="24">
        <f t="shared" si="0"/>
        <v>6.6666666666666671E-3</v>
      </c>
      <c r="AB52" s="10">
        <f>Z52*AA52/2</f>
        <v>2.4401789271904247E-7</v>
      </c>
      <c r="AD52" t="s">
        <v>155</v>
      </c>
      <c r="AE52" s="3">
        <v>1.8545732102841994E-2</v>
      </c>
      <c r="AF52" s="20">
        <f>AE52/AE$152</f>
        <v>1.0331991455700815E-4</v>
      </c>
      <c r="AG52" s="20">
        <f t="shared" si="7"/>
        <v>2.1896703256071076E-3</v>
      </c>
      <c r="AH52" s="22">
        <f t="shared" si="5"/>
        <v>4.2760207366572076E-3</v>
      </c>
      <c r="AI52" s="24">
        <f t="shared" si="1"/>
        <v>6.6666666666666671E-3</v>
      </c>
      <c r="AJ52">
        <f>AH52*AI52/2</f>
        <v>1.4253402455524026E-5</v>
      </c>
    </row>
    <row r="53" spans="1:36" x14ac:dyDescent="0.3">
      <c r="A53" t="s">
        <v>148</v>
      </c>
      <c r="B53" s="21">
        <v>29179132473.630383</v>
      </c>
      <c r="C53" s="22">
        <v>3.0752928052538229E-4</v>
      </c>
      <c r="D53" s="22">
        <f t="shared" si="2"/>
        <v>8.4544569775538841E-3</v>
      </c>
      <c r="E53" s="22">
        <f t="shared" si="3"/>
        <v>1.6601384674582387E-2</v>
      </c>
      <c r="F53" s="24">
        <f>1/150</f>
        <v>6.6666666666666671E-3</v>
      </c>
      <c r="G53">
        <f>E53*F53/2</f>
        <v>5.5337948915274626E-5</v>
      </c>
      <c r="M53" s="27" t="s">
        <v>142</v>
      </c>
      <c r="N53" s="3">
        <v>8.1772171852993999E-2</v>
      </c>
      <c r="O53" s="20">
        <v>3.69877498397141E-5</v>
      </c>
      <c r="P53" s="20">
        <f t="shared" si="4"/>
        <v>5.1024047512305529E-4</v>
      </c>
      <c r="Q53" s="22">
        <f t="shared" si="6"/>
        <v>9.8349320040639655E-4</v>
      </c>
      <c r="R53" s="24">
        <f>1/150</f>
        <v>6.6666666666666671E-3</v>
      </c>
      <c r="S53">
        <f>Q53*R53/2</f>
        <v>3.2783106680213221E-6</v>
      </c>
      <c r="V53" t="s">
        <v>22</v>
      </c>
      <c r="W53" s="3">
        <v>1.9109433172199999E-2</v>
      </c>
      <c r="X53" s="20">
        <f>W53/W$152</f>
        <v>9.4075240054636877E-6</v>
      </c>
      <c r="Y53" s="20">
        <f t="shared" si="8"/>
        <v>4.9742823677502851E-5</v>
      </c>
      <c r="Z53" s="22">
        <f t="shared" si="9"/>
        <v>9.0078123349542007E-5</v>
      </c>
      <c r="AA53" s="24">
        <f t="shared" si="0"/>
        <v>6.6666666666666671E-3</v>
      </c>
      <c r="AB53" s="10">
        <f>Z53*AA53/2</f>
        <v>3.0026041116514006E-7</v>
      </c>
      <c r="AD53" t="s">
        <v>87</v>
      </c>
      <c r="AE53" s="3">
        <v>1.9665358068261397E-2</v>
      </c>
      <c r="AF53" s="20">
        <f>AE53/AE$152</f>
        <v>1.0955744988003879E-4</v>
      </c>
      <c r="AG53" s="20">
        <f t="shared" si="7"/>
        <v>2.2992277754871463E-3</v>
      </c>
      <c r="AH53" s="22">
        <f t="shared" si="5"/>
        <v>4.4888981010942543E-3</v>
      </c>
      <c r="AI53" s="24">
        <f t="shared" si="1"/>
        <v>6.6666666666666671E-3</v>
      </c>
      <c r="AJ53">
        <f>AH53*AI53/2</f>
        <v>1.4962993670314181E-5</v>
      </c>
    </row>
    <row r="54" spans="1:36" x14ac:dyDescent="0.3">
      <c r="A54" t="s">
        <v>46</v>
      </c>
      <c r="B54" s="21">
        <v>30557357896.857292</v>
      </c>
      <c r="C54" s="22">
        <v>3.220548896465512E-4</v>
      </c>
      <c r="D54" s="22">
        <f t="shared" si="2"/>
        <v>8.7765118672004355E-3</v>
      </c>
      <c r="E54" s="22">
        <f t="shared" si="3"/>
        <v>1.7230968844754321E-2</v>
      </c>
      <c r="F54" s="24">
        <f>1/150</f>
        <v>6.6666666666666671E-3</v>
      </c>
      <c r="G54">
        <f>E54*F54/2</f>
        <v>5.7436562815847743E-5</v>
      </c>
      <c r="M54" s="27" t="s">
        <v>63</v>
      </c>
      <c r="N54" s="3">
        <v>9.226213095861921E-2</v>
      </c>
      <c r="O54" s="20">
        <v>4.1732640117609905E-5</v>
      </c>
      <c r="P54" s="20">
        <f t="shared" si="4"/>
        <v>5.5197311524066519E-4</v>
      </c>
      <c r="Q54" s="22">
        <f t="shared" si="6"/>
        <v>1.0622135903637204E-3</v>
      </c>
      <c r="R54" s="24">
        <f>1/150</f>
        <v>6.6666666666666671E-3</v>
      </c>
      <c r="S54">
        <f>Q54*R54/2</f>
        <v>3.5407119678790683E-6</v>
      </c>
      <c r="V54" t="s">
        <v>96</v>
      </c>
      <c r="W54" s="3">
        <v>2.0317189843799995E-2</v>
      </c>
      <c r="X54" s="20">
        <f>W54/W$152</f>
        <v>1.0002099458249232E-5</v>
      </c>
      <c r="Y54" s="20">
        <f t="shared" si="8"/>
        <v>5.9744923135752081E-5</v>
      </c>
      <c r="Z54" s="22">
        <f t="shared" si="9"/>
        <v>1.0948774681325493E-4</v>
      </c>
      <c r="AA54" s="24">
        <f t="shared" si="0"/>
        <v>6.6666666666666671E-3</v>
      </c>
      <c r="AB54" s="10">
        <f>Z54*AA54/2</f>
        <v>3.6495915604418311E-7</v>
      </c>
      <c r="AD54" t="s">
        <v>85</v>
      </c>
      <c r="AE54" s="3">
        <v>2.0076627013278003E-2</v>
      </c>
      <c r="AF54" s="20">
        <f>AE54/AE$152</f>
        <v>1.1184866556370302E-4</v>
      </c>
      <c r="AG54" s="20">
        <f t="shared" si="7"/>
        <v>2.4110764410508493E-3</v>
      </c>
      <c r="AH54" s="22">
        <f t="shared" si="5"/>
        <v>4.7103042165379961E-3</v>
      </c>
      <c r="AI54" s="24">
        <f t="shared" si="1"/>
        <v>6.6666666666666671E-3</v>
      </c>
      <c r="AJ54">
        <f>AH54*AI54/2</f>
        <v>1.5701014055126655E-5</v>
      </c>
    </row>
    <row r="55" spans="1:36" x14ac:dyDescent="0.3">
      <c r="A55" t="s">
        <v>30</v>
      </c>
      <c r="B55" s="21">
        <v>31740302544.146255</v>
      </c>
      <c r="C55" s="22">
        <v>3.3452236504565329E-4</v>
      </c>
      <c r="D55" s="22">
        <f t="shared" si="2"/>
        <v>9.1110342322460892E-3</v>
      </c>
      <c r="E55" s="22">
        <f t="shared" si="3"/>
        <v>1.7887546099446525E-2</v>
      </c>
      <c r="F55" s="24">
        <f>1/150</f>
        <v>6.6666666666666671E-3</v>
      </c>
      <c r="G55">
        <f>E55*F55/2</f>
        <v>5.9625153664821752E-5</v>
      </c>
      <c r="M55" s="27" t="s">
        <v>135</v>
      </c>
      <c r="N55" s="3">
        <v>9.8613566824059987E-2</v>
      </c>
      <c r="O55" s="20">
        <v>4.4605565167665425E-5</v>
      </c>
      <c r="P55" s="20">
        <f t="shared" si="4"/>
        <v>5.9657868040833065E-4</v>
      </c>
      <c r="Q55" s="22">
        <f t="shared" si="6"/>
        <v>1.1485517956489957E-3</v>
      </c>
      <c r="R55" s="24">
        <f>1/150</f>
        <v>6.6666666666666671E-3</v>
      </c>
      <c r="S55">
        <f>Q55*R55/2</f>
        <v>3.8285059854966525E-6</v>
      </c>
      <c r="V55" t="s">
        <v>28</v>
      </c>
      <c r="W55" s="3">
        <v>2.49161021696E-2</v>
      </c>
      <c r="X55" s="20">
        <f>W55/W$152</f>
        <v>1.2266131976331792E-5</v>
      </c>
      <c r="Y55" s="20">
        <f t="shared" si="8"/>
        <v>7.2011055112083868E-5</v>
      </c>
      <c r="Z55" s="22">
        <f t="shared" si="9"/>
        <v>1.3175597824783596E-4</v>
      </c>
      <c r="AA55" s="24">
        <f t="shared" si="0"/>
        <v>6.6666666666666671E-3</v>
      </c>
      <c r="AB55" s="10">
        <f>Z55*AA55/2</f>
        <v>4.3918659415945319E-7</v>
      </c>
      <c r="AD55" t="s">
        <v>73</v>
      </c>
      <c r="AE55" s="3">
        <v>2.2073681327220995E-2</v>
      </c>
      <c r="AF55" s="20">
        <f>AE55/AE$152</f>
        <v>1.2297443185527342E-4</v>
      </c>
      <c r="AG55" s="20">
        <f t="shared" si="7"/>
        <v>2.5340508729061227E-3</v>
      </c>
      <c r="AH55" s="22">
        <f t="shared" si="5"/>
        <v>4.9451273139569721E-3</v>
      </c>
      <c r="AI55" s="24">
        <f t="shared" si="1"/>
        <v>6.6666666666666671E-3</v>
      </c>
      <c r="AJ55">
        <f>AH55*AI55/2</f>
        <v>1.6483757713189909E-5</v>
      </c>
    </row>
    <row r="56" spans="1:36" x14ac:dyDescent="0.3">
      <c r="A56" t="s">
        <v>132</v>
      </c>
      <c r="B56" s="21">
        <v>34982690898.441475</v>
      </c>
      <c r="C56" s="22">
        <v>3.6869505193692421E-4</v>
      </c>
      <c r="D56" s="22">
        <f t="shared" si="2"/>
        <v>9.4797292841830132E-3</v>
      </c>
      <c r="E56" s="22">
        <f t="shared" si="3"/>
        <v>1.8590763516429104E-2</v>
      </c>
      <c r="F56" s="24">
        <f>1/150</f>
        <v>6.6666666666666671E-3</v>
      </c>
      <c r="G56">
        <f>E56*F56/2</f>
        <v>6.1969211721430348E-5</v>
      </c>
      <c r="M56" s="27" t="s">
        <v>155</v>
      </c>
      <c r="N56" s="3">
        <v>9.941726712284199E-2</v>
      </c>
      <c r="O56" s="20">
        <v>4.4969100401276366E-5</v>
      </c>
      <c r="P56" s="20">
        <f t="shared" si="4"/>
        <v>6.4154778080960698E-4</v>
      </c>
      <c r="Q56" s="22">
        <f t="shared" si="6"/>
        <v>1.2381264612179375E-3</v>
      </c>
      <c r="R56" s="24">
        <f>1/150</f>
        <v>6.6666666666666671E-3</v>
      </c>
      <c r="S56">
        <f>Q56*R56/2</f>
        <v>4.1270882040597919E-6</v>
      </c>
      <c r="V56" t="s">
        <v>5</v>
      </c>
      <c r="W56" s="3">
        <v>2.7100970505999997E-2</v>
      </c>
      <c r="X56" s="20">
        <f>W56/W$152</f>
        <v>1.3341736947878637E-5</v>
      </c>
      <c r="Y56" s="20">
        <f t="shared" si="8"/>
        <v>8.5352792059962504E-5</v>
      </c>
      <c r="Z56" s="22">
        <f t="shared" si="9"/>
        <v>1.5736384717204637E-4</v>
      </c>
      <c r="AA56" s="24">
        <f t="shared" si="0"/>
        <v>6.6666666666666671E-3</v>
      </c>
      <c r="AB56" s="10">
        <f>Z56*AA56/2</f>
        <v>5.2454615724015465E-7</v>
      </c>
      <c r="AD56" t="s">
        <v>136</v>
      </c>
      <c r="AE56" s="3">
        <v>2.2198150242353991E-2</v>
      </c>
      <c r="AF56" s="20">
        <f>AE56/AE$152</f>
        <v>1.236678591950641E-4</v>
      </c>
      <c r="AG56" s="20">
        <f t="shared" si="7"/>
        <v>2.6577187321011869E-3</v>
      </c>
      <c r="AH56" s="22">
        <f t="shared" si="5"/>
        <v>5.1917696050073096E-3</v>
      </c>
      <c r="AI56" s="24">
        <f t="shared" si="1"/>
        <v>6.6666666666666671E-3</v>
      </c>
      <c r="AJ56">
        <f>AH56*AI56/2</f>
        <v>1.7305898683357699E-5</v>
      </c>
    </row>
    <row r="57" spans="1:36" x14ac:dyDescent="0.3">
      <c r="A57" t="s">
        <v>99</v>
      </c>
      <c r="B57" s="21">
        <v>37806175459.305305</v>
      </c>
      <c r="C57" s="22">
        <v>3.9845276239530329E-4</v>
      </c>
      <c r="D57" s="22">
        <f t="shared" si="2"/>
        <v>9.8781820465783168E-3</v>
      </c>
      <c r="E57" s="22">
        <f t="shared" si="3"/>
        <v>1.935791133076133E-2</v>
      </c>
      <c r="F57" s="24">
        <f>1/150</f>
        <v>6.6666666666666671E-3</v>
      </c>
      <c r="G57">
        <f>E57*F57/2</f>
        <v>6.4526371102537777E-5</v>
      </c>
      <c r="M57" s="27" t="s">
        <v>79</v>
      </c>
      <c r="N57" s="3">
        <v>0.10187549148056578</v>
      </c>
      <c r="O57" s="20">
        <v>4.6081021309489968E-5</v>
      </c>
      <c r="P57" s="20">
        <f t="shared" si="4"/>
        <v>6.8762880211909697E-4</v>
      </c>
      <c r="Q57" s="22">
        <f t="shared" si="6"/>
        <v>1.3291765829287041E-3</v>
      </c>
      <c r="R57" s="24">
        <f>1/150</f>
        <v>6.6666666666666671E-3</v>
      </c>
      <c r="S57">
        <f>Q57*R57/2</f>
        <v>4.4305886097623475E-6</v>
      </c>
      <c r="V57" t="s">
        <v>63</v>
      </c>
      <c r="W57" s="3">
        <v>3.0358600130599996E-2</v>
      </c>
      <c r="X57" s="20">
        <f>W57/W$152</f>
        <v>1.4945459497792761E-5</v>
      </c>
      <c r="Y57" s="20">
        <f t="shared" si="8"/>
        <v>1.0029825155775527E-4</v>
      </c>
      <c r="Z57" s="22">
        <f t="shared" si="9"/>
        <v>1.8565104361771778E-4</v>
      </c>
      <c r="AA57" s="24">
        <f t="shared" si="0"/>
        <v>6.6666666666666671E-3</v>
      </c>
      <c r="AB57" s="10">
        <f>Z57*AA57/2</f>
        <v>6.188368120590593E-7</v>
      </c>
      <c r="AD57" t="s">
        <v>75</v>
      </c>
      <c r="AE57" s="3">
        <v>2.3883758374814004E-2</v>
      </c>
      <c r="AF57" s="20">
        <f>AE57/AE$152</f>
        <v>1.3305853125139552E-4</v>
      </c>
      <c r="AG57" s="20">
        <f t="shared" si="7"/>
        <v>2.7907772633525823E-3</v>
      </c>
      <c r="AH57" s="22">
        <f t="shared" si="5"/>
        <v>5.4484959954537691E-3</v>
      </c>
      <c r="AI57" s="24">
        <f t="shared" si="1"/>
        <v>6.6666666666666671E-3</v>
      </c>
      <c r="AJ57">
        <f>AH57*AI57/2</f>
        <v>1.816165331817923E-5</v>
      </c>
    </row>
    <row r="58" spans="1:36" x14ac:dyDescent="0.3">
      <c r="A58" t="s">
        <v>119</v>
      </c>
      <c r="B58" s="21">
        <v>38500536184.964561</v>
      </c>
      <c r="C58" s="22">
        <v>4.0577087764701784E-4</v>
      </c>
      <c r="D58" s="22">
        <f t="shared" si="2"/>
        <v>1.0283952924225334E-2</v>
      </c>
      <c r="E58" s="22">
        <f t="shared" si="3"/>
        <v>2.0162134970803651E-2</v>
      </c>
      <c r="F58" s="24">
        <f>1/150</f>
        <v>6.6666666666666671E-3</v>
      </c>
      <c r="G58">
        <f>E58*F58/2</f>
        <v>6.7207116569345507E-5</v>
      </c>
      <c r="M58" s="27" t="s">
        <v>26</v>
      </c>
      <c r="N58" s="3">
        <v>0.11492208101402017</v>
      </c>
      <c r="O58" s="20">
        <v>5.1982344204427538E-5</v>
      </c>
      <c r="P58" s="20">
        <f t="shared" si="4"/>
        <v>7.3961114632352452E-4</v>
      </c>
      <c r="Q58" s="22">
        <f t="shared" si="6"/>
        <v>1.4272399484426216E-3</v>
      </c>
      <c r="R58" s="24">
        <f>1/150</f>
        <v>6.6666666666666671E-3</v>
      </c>
      <c r="S58">
        <f>Q58*R58/2</f>
        <v>4.757466494808739E-6</v>
      </c>
      <c r="V58" t="s">
        <v>19</v>
      </c>
      <c r="W58" s="3">
        <v>3.27470036992E-2</v>
      </c>
      <c r="X58" s="20">
        <f>W58/W$152</f>
        <v>1.6121264332183509E-5</v>
      </c>
      <c r="Y58" s="20">
        <f t="shared" si="8"/>
        <v>1.1641951588993877E-4</v>
      </c>
      <c r="Z58" s="22">
        <f t="shared" si="9"/>
        <v>2.1671776744769405E-4</v>
      </c>
      <c r="AA58" s="24">
        <f t="shared" si="0"/>
        <v>6.6666666666666671E-3</v>
      </c>
      <c r="AB58" s="10">
        <f>Z58*AA58/2</f>
        <v>7.2239255815898021E-7</v>
      </c>
      <c r="AD58" t="s">
        <v>159</v>
      </c>
      <c r="AE58" s="3">
        <v>2.4824876031018E-2</v>
      </c>
      <c r="AF58" s="20">
        <f>AE58/AE$152</f>
        <v>1.3830158098854706E-4</v>
      </c>
      <c r="AG58" s="20">
        <f t="shared" si="7"/>
        <v>2.9290788443411295E-3</v>
      </c>
      <c r="AH58" s="22">
        <f t="shared" si="5"/>
        <v>5.7198561076937122E-3</v>
      </c>
      <c r="AI58" s="24">
        <f t="shared" si="1"/>
        <v>6.6666666666666671E-3</v>
      </c>
      <c r="AJ58">
        <f>AH58*AI58/2</f>
        <v>1.906618702564571E-5</v>
      </c>
    </row>
    <row r="59" spans="1:36" x14ac:dyDescent="0.3">
      <c r="A59" t="s">
        <v>106</v>
      </c>
      <c r="B59" s="21">
        <v>42637366965.006409</v>
      </c>
      <c r="C59" s="22">
        <v>4.493704121633791E-4</v>
      </c>
      <c r="D59" s="22">
        <f t="shared" si="2"/>
        <v>1.0733323336388713E-2</v>
      </c>
      <c r="E59" s="22">
        <f t="shared" si="3"/>
        <v>2.1017276260614046E-2</v>
      </c>
      <c r="F59" s="24">
        <f>1/150</f>
        <v>6.6666666666666671E-3</v>
      </c>
      <c r="G59">
        <f>E59*F59/2</f>
        <v>7.0057587535380154E-5</v>
      </c>
      <c r="M59" s="27" t="s">
        <v>8</v>
      </c>
      <c r="N59" s="3">
        <v>0.11575014542202756</v>
      </c>
      <c r="O59" s="20">
        <v>5.2356899979093892E-5</v>
      </c>
      <c r="P59" s="20">
        <f t="shared" si="4"/>
        <v>7.9196804630261841E-4</v>
      </c>
      <c r="Q59" s="22">
        <f t="shared" si="6"/>
        <v>1.5315791926261428E-3</v>
      </c>
      <c r="R59" s="24">
        <f>1/150</f>
        <v>6.6666666666666671E-3</v>
      </c>
      <c r="S59">
        <f>Q59*R59/2</f>
        <v>5.1052639754204768E-6</v>
      </c>
      <c r="V59" t="s">
        <v>48</v>
      </c>
      <c r="W59" s="3">
        <v>3.5865064062199997E-2</v>
      </c>
      <c r="X59" s="20">
        <f>W59/W$152</f>
        <v>1.7656277299395989E-5</v>
      </c>
      <c r="Y59" s="20">
        <f t="shared" si="8"/>
        <v>1.3407579318933476E-4</v>
      </c>
      <c r="Z59" s="22">
        <f t="shared" si="9"/>
        <v>2.5049530907927356E-4</v>
      </c>
      <c r="AA59" s="24">
        <f t="shared" si="0"/>
        <v>6.6666666666666671E-3</v>
      </c>
      <c r="AB59" s="10">
        <f>Z59*AA59/2</f>
        <v>8.3498436359757854E-7</v>
      </c>
      <c r="AD59" t="s">
        <v>82</v>
      </c>
      <c r="AE59" s="3">
        <v>2.9158879749568201E-2</v>
      </c>
      <c r="AF59" s="20">
        <f>AE59/AE$152</f>
        <v>1.6244669919726647E-4</v>
      </c>
      <c r="AG59" s="20">
        <f t="shared" si="7"/>
        <v>3.0915255435383961E-3</v>
      </c>
      <c r="AH59" s="22">
        <f t="shared" si="5"/>
        <v>6.020604387879526E-3</v>
      </c>
      <c r="AI59" s="24">
        <f t="shared" si="1"/>
        <v>6.6666666666666671E-3</v>
      </c>
      <c r="AJ59">
        <f>AH59*AI59/2</f>
        <v>2.0068681292931753E-5</v>
      </c>
    </row>
    <row r="60" spans="1:36" x14ac:dyDescent="0.3">
      <c r="A60" t="s">
        <v>127</v>
      </c>
      <c r="B60" s="21">
        <v>43124429828.964264</v>
      </c>
      <c r="C60" s="22">
        <v>4.5450374134165244E-4</v>
      </c>
      <c r="D60" s="22">
        <f t="shared" si="2"/>
        <v>1.1187827077730366E-2</v>
      </c>
      <c r="E60" s="22">
        <f t="shared" si="3"/>
        <v>2.192115041411908E-2</v>
      </c>
      <c r="F60" s="24">
        <f>1/150</f>
        <v>6.6666666666666671E-3</v>
      </c>
      <c r="G60">
        <f>E60*F60/2</f>
        <v>7.3070501380396934E-5</v>
      </c>
      <c r="M60" s="27" t="s">
        <v>101</v>
      </c>
      <c r="N60" s="3">
        <v>0.12979578980190143</v>
      </c>
      <c r="O60" s="20">
        <v>5.8710122217024944E-5</v>
      </c>
      <c r="P60" s="20">
        <f t="shared" si="4"/>
        <v>8.5067816851964334E-4</v>
      </c>
      <c r="Q60" s="22">
        <f t="shared" si="6"/>
        <v>1.6426462148222618E-3</v>
      </c>
      <c r="R60" s="24">
        <f>1/150</f>
        <v>6.6666666666666671E-3</v>
      </c>
      <c r="S60">
        <f>Q60*R60/2</f>
        <v>5.4754873827408731E-6</v>
      </c>
      <c r="V60" t="s">
        <v>50</v>
      </c>
      <c r="W60" s="3">
        <v>3.7033804741999993E-2</v>
      </c>
      <c r="X60" s="20">
        <f>W60/W$152</f>
        <v>1.8231645281392212E-5</v>
      </c>
      <c r="Y60" s="20">
        <f t="shared" si="8"/>
        <v>1.5230743847072698E-4</v>
      </c>
      <c r="Z60" s="22">
        <f t="shared" si="9"/>
        <v>2.8638323166006177E-4</v>
      </c>
      <c r="AA60" s="24">
        <f t="shared" si="0"/>
        <v>6.6666666666666671E-3</v>
      </c>
      <c r="AB60" s="10">
        <f>Z60*AA60/2</f>
        <v>9.5461077220020602E-7</v>
      </c>
      <c r="AD60" t="s">
        <v>123</v>
      </c>
      <c r="AE60" s="3">
        <v>2.9223926835096004E-2</v>
      </c>
      <c r="AF60" s="20">
        <f>AE60/AE$152</f>
        <v>1.6280908226640856E-4</v>
      </c>
      <c r="AG60" s="20">
        <f t="shared" si="7"/>
        <v>3.2543346258048045E-3</v>
      </c>
      <c r="AH60" s="22">
        <f t="shared" si="5"/>
        <v>6.345860169343201E-3</v>
      </c>
      <c r="AI60" s="24">
        <f t="shared" si="1"/>
        <v>6.6666666666666671E-3</v>
      </c>
      <c r="AJ60">
        <f>AH60*AI60/2</f>
        <v>2.1152867231144004E-5</v>
      </c>
    </row>
    <row r="61" spans="1:36" x14ac:dyDescent="0.3">
      <c r="A61" t="s">
        <v>84</v>
      </c>
      <c r="B61" s="21">
        <v>46015383701.362282</v>
      </c>
      <c r="C61" s="22">
        <v>4.849725349294701E-4</v>
      </c>
      <c r="D61" s="22">
        <f t="shared" si="2"/>
        <v>1.1672799612659837E-2</v>
      </c>
      <c r="E61" s="22">
        <f t="shared" si="3"/>
        <v>2.2860626690390205E-2</v>
      </c>
      <c r="F61" s="24">
        <f>1/150</f>
        <v>6.6666666666666671E-3</v>
      </c>
      <c r="G61">
        <f>E61*F61/2</f>
        <v>7.6202088967967352E-5</v>
      </c>
      <c r="M61" s="27" t="s">
        <v>40</v>
      </c>
      <c r="N61" s="3">
        <v>0.1383726207648</v>
      </c>
      <c r="O61" s="20">
        <v>6.2589653246768426E-5</v>
      </c>
      <c r="P61" s="20">
        <f t="shared" si="4"/>
        <v>9.132678217664118E-4</v>
      </c>
      <c r="Q61" s="22">
        <f t="shared" si="6"/>
        <v>1.7639459902860553E-3</v>
      </c>
      <c r="R61" s="24">
        <f>1/150</f>
        <v>6.6666666666666671E-3</v>
      </c>
      <c r="S61">
        <f>Q61*R61/2</f>
        <v>5.8798199676201849E-6</v>
      </c>
      <c r="V61" t="s">
        <v>114</v>
      </c>
      <c r="W61" s="3">
        <v>4.10388356348E-2</v>
      </c>
      <c r="X61" s="20">
        <f>W61/W$152</f>
        <v>2.0203311522202121E-5</v>
      </c>
      <c r="Y61" s="20">
        <f t="shared" si="8"/>
        <v>1.725107499929291E-4</v>
      </c>
      <c r="Z61" s="22">
        <f t="shared" si="9"/>
        <v>3.2481818846365608E-4</v>
      </c>
      <c r="AA61" s="24">
        <f t="shared" si="0"/>
        <v>6.6666666666666671E-3</v>
      </c>
      <c r="AB61" s="10">
        <f>Z61*AA61/2</f>
        <v>1.0827272948788536E-6</v>
      </c>
      <c r="AD61" t="s">
        <v>146</v>
      </c>
      <c r="AE61" s="3">
        <v>3.039744498073E-2</v>
      </c>
      <c r="AF61" s="20">
        <f>AE61/AE$152</f>
        <v>1.6934685569404385E-4</v>
      </c>
      <c r="AG61" s="20">
        <f t="shared" si="7"/>
        <v>3.4236814814988482E-3</v>
      </c>
      <c r="AH61" s="22">
        <f t="shared" si="5"/>
        <v>6.6780161073036522E-3</v>
      </c>
      <c r="AI61" s="24">
        <f t="shared" si="1"/>
        <v>6.6666666666666671E-3</v>
      </c>
      <c r="AJ61">
        <f>AH61*AI61/2</f>
        <v>2.2260053691012174E-5</v>
      </c>
    </row>
    <row r="62" spans="1:36" x14ac:dyDescent="0.3">
      <c r="A62" t="s">
        <v>97</v>
      </c>
      <c r="B62" s="21">
        <v>46405988481.472862</v>
      </c>
      <c r="C62" s="22">
        <v>4.8908925797138162E-4</v>
      </c>
      <c r="D62" s="22">
        <f t="shared" si="2"/>
        <v>1.2161888870631219E-2</v>
      </c>
      <c r="E62" s="22">
        <f t="shared" si="3"/>
        <v>2.3834688483291056E-2</v>
      </c>
      <c r="F62" s="24">
        <f>1/150</f>
        <v>6.6666666666666671E-3</v>
      </c>
      <c r="G62">
        <f>E62*F62/2</f>
        <v>7.9448961610970189E-5</v>
      </c>
      <c r="M62" s="27" t="s">
        <v>68</v>
      </c>
      <c r="N62" s="3">
        <v>0.13907934317318399</v>
      </c>
      <c r="O62" s="20">
        <v>6.290932277559567E-5</v>
      </c>
      <c r="P62" s="20">
        <f t="shared" si="4"/>
        <v>9.7617714454200743E-4</v>
      </c>
      <c r="Q62" s="22">
        <f t="shared" si="6"/>
        <v>1.8894449663084192E-3</v>
      </c>
      <c r="R62" s="24">
        <f>1/150</f>
        <v>6.6666666666666671E-3</v>
      </c>
      <c r="S62">
        <f>Q62*R62/2</f>
        <v>6.2981498876947315E-6</v>
      </c>
      <c r="V62" t="s">
        <v>141</v>
      </c>
      <c r="W62" s="3">
        <v>4.2356532590000003E-2</v>
      </c>
      <c r="X62" s="20">
        <f>W62/W$152</f>
        <v>2.0852010289259441E-5</v>
      </c>
      <c r="Y62" s="20">
        <f t="shared" si="8"/>
        <v>1.9336276028218853E-4</v>
      </c>
      <c r="Z62" s="22">
        <f t="shared" si="9"/>
        <v>3.6587351027511764E-4</v>
      </c>
      <c r="AA62" s="24">
        <f t="shared" si="0"/>
        <v>6.6666666666666671E-3</v>
      </c>
      <c r="AB62" s="10">
        <f>Z62*AA62/2</f>
        <v>1.2195783675837255E-6</v>
      </c>
      <c r="AD62" t="s">
        <v>68</v>
      </c>
      <c r="AE62" s="3">
        <v>3.2218629641184E-2</v>
      </c>
      <c r="AF62" s="20">
        <f>AE62/AE$152</f>
        <v>1.7949283658426745E-4</v>
      </c>
      <c r="AG62" s="20">
        <f t="shared" si="7"/>
        <v>3.6031743180831156E-3</v>
      </c>
      <c r="AH62" s="22">
        <f t="shared" si="5"/>
        <v>7.0268557995819634E-3</v>
      </c>
      <c r="AI62" s="24">
        <f t="shared" si="1"/>
        <v>6.6666666666666671E-3</v>
      </c>
      <c r="AJ62">
        <f>AH62*AI62/2</f>
        <v>2.3422852665273213E-5</v>
      </c>
    </row>
    <row r="63" spans="1:36" x14ac:dyDescent="0.3">
      <c r="A63" t="s">
        <v>101</v>
      </c>
      <c r="B63" s="21">
        <v>49184626298.035133</v>
      </c>
      <c r="C63" s="22">
        <v>5.1837431260212663E-4</v>
      </c>
      <c r="D63" s="22">
        <f t="shared" si="2"/>
        <v>1.2680263183233346E-2</v>
      </c>
      <c r="E63" s="22">
        <f t="shared" si="3"/>
        <v>2.4842152053864565E-2</v>
      </c>
      <c r="F63" s="24">
        <f>1/150</f>
        <v>6.6666666666666671E-3</v>
      </c>
      <c r="G63">
        <f>E63*F63/2</f>
        <v>8.2807173512881887E-5</v>
      </c>
      <c r="M63" s="27" t="s">
        <v>48</v>
      </c>
      <c r="N63" s="3">
        <v>0.15274055086666399</v>
      </c>
      <c r="O63" s="20">
        <v>6.9088653973783912E-5</v>
      </c>
      <c r="P63" s="20">
        <f t="shared" si="4"/>
        <v>1.0452657985157913E-3</v>
      </c>
      <c r="Q63" s="22">
        <f t="shared" si="6"/>
        <v>2.0214429430577985E-3</v>
      </c>
      <c r="R63" s="24">
        <f>1/150</f>
        <v>6.6666666666666671E-3</v>
      </c>
      <c r="S63">
        <f>Q63*R63/2</f>
        <v>6.7381431435259958E-6</v>
      </c>
      <c r="V63" t="s">
        <v>82</v>
      </c>
      <c r="W63" s="3">
        <v>4.4327251909999997E-2</v>
      </c>
      <c r="X63" s="20">
        <f>W63/W$152</f>
        <v>2.1822190259741351E-5</v>
      </c>
      <c r="Y63" s="20">
        <f t="shared" si="8"/>
        <v>2.1518495054192988E-4</v>
      </c>
      <c r="Z63" s="22">
        <f t="shared" si="9"/>
        <v>4.0854771082411841E-4</v>
      </c>
      <c r="AA63" s="24">
        <f t="shared" si="0"/>
        <v>6.6666666666666671E-3</v>
      </c>
      <c r="AB63" s="10">
        <f>Z63*AA63/2</f>
        <v>1.3618257027470616E-6</v>
      </c>
      <c r="AD63" t="s">
        <v>71</v>
      </c>
      <c r="AE63" s="3">
        <v>3.7261129333718994E-2</v>
      </c>
      <c r="AF63" s="20">
        <f>AE63/AE$152</f>
        <v>2.0758504855505384E-4</v>
      </c>
      <c r="AG63" s="20">
        <f t="shared" si="7"/>
        <v>3.8107593666381694E-3</v>
      </c>
      <c r="AH63" s="22">
        <f t="shared" si="5"/>
        <v>7.413933684721285E-3</v>
      </c>
      <c r="AI63" s="24">
        <f t="shared" si="1"/>
        <v>6.6666666666666671E-3</v>
      </c>
      <c r="AJ63">
        <f>AH63*AI63/2</f>
        <v>2.4713112282404286E-5</v>
      </c>
    </row>
    <row r="64" spans="1:36" x14ac:dyDescent="0.3">
      <c r="A64" t="s">
        <v>142</v>
      </c>
      <c r="B64" s="21">
        <v>49319389340.670036</v>
      </c>
      <c r="C64" s="22">
        <v>5.197946283562149E-4</v>
      </c>
      <c r="D64" s="22">
        <f t="shared" si="2"/>
        <v>1.3200057811589561E-2</v>
      </c>
      <c r="E64" s="22">
        <f t="shared" si="3"/>
        <v>2.5880320994822906E-2</v>
      </c>
      <c r="F64" s="24">
        <f>1/150</f>
        <v>6.6666666666666671E-3</v>
      </c>
      <c r="G64">
        <f>E64*F64/2</f>
        <v>8.6267736649409691E-5</v>
      </c>
      <c r="M64" s="27" t="s">
        <v>146</v>
      </c>
      <c r="N64" s="3">
        <v>0.15288094198273</v>
      </c>
      <c r="O64" s="20">
        <v>6.9152156646674911E-5</v>
      </c>
      <c r="P64" s="20">
        <f t="shared" si="4"/>
        <v>1.1144179551624662E-3</v>
      </c>
      <c r="Q64" s="22">
        <f t="shared" si="6"/>
        <v>2.1596837536782577E-3</v>
      </c>
      <c r="R64" s="24">
        <f>1/150</f>
        <v>6.6666666666666671E-3</v>
      </c>
      <c r="S64">
        <f>Q64*R64/2</f>
        <v>7.1989458455941927E-6</v>
      </c>
      <c r="V64" t="s">
        <v>154</v>
      </c>
      <c r="W64" s="3">
        <v>4.5516964035400002E-2</v>
      </c>
      <c r="X64" s="20">
        <f>W64/W$152</f>
        <v>2.2407882429594616E-5</v>
      </c>
      <c r="Y64" s="20">
        <f t="shared" si="8"/>
        <v>2.375928329715245E-4</v>
      </c>
      <c r="Z64" s="22">
        <f t="shared" si="9"/>
        <v>4.5277778351345438E-4</v>
      </c>
      <c r="AA64" s="24">
        <f t="shared" si="0"/>
        <v>6.6666666666666671E-3</v>
      </c>
      <c r="AB64" s="10">
        <f>Z64*AA64/2</f>
        <v>1.5092592783781813E-6</v>
      </c>
      <c r="AD64" t="s">
        <v>45</v>
      </c>
      <c r="AE64" s="3">
        <v>3.7274166400174003E-2</v>
      </c>
      <c r="AF64" s="20">
        <f>AE64/AE$152</f>
        <v>2.0765767920585457E-4</v>
      </c>
      <c r="AG64" s="20">
        <f t="shared" si="7"/>
        <v>4.0184170458440237E-3</v>
      </c>
      <c r="AH64" s="22">
        <f t="shared" si="5"/>
        <v>7.8291764124821927E-3</v>
      </c>
      <c r="AI64" s="24">
        <f t="shared" si="1"/>
        <v>6.6666666666666671E-3</v>
      </c>
      <c r="AJ64">
        <f>AH64*AI64/2</f>
        <v>2.6097254708273977E-5</v>
      </c>
    </row>
    <row r="65" spans="1:36" x14ac:dyDescent="0.3">
      <c r="A65" t="s">
        <v>41</v>
      </c>
      <c r="B65" s="21">
        <v>55144866855.247284</v>
      </c>
      <c r="C65" s="22">
        <v>5.8119141286972777E-4</v>
      </c>
      <c r="D65" s="22">
        <f t="shared" si="2"/>
        <v>1.3781249224459289E-2</v>
      </c>
      <c r="E65" s="22">
        <f t="shared" si="3"/>
        <v>2.6981307036048847E-2</v>
      </c>
      <c r="F65" s="24">
        <f>1/150</f>
        <v>6.6666666666666671E-3</v>
      </c>
      <c r="G65">
        <f>E65*F65/2</f>
        <v>8.9937690120162829E-5</v>
      </c>
      <c r="M65" s="27" t="s">
        <v>70</v>
      </c>
      <c r="N65" s="3">
        <v>0.16722225450336595</v>
      </c>
      <c r="O65" s="20">
        <v>7.56391175267169E-5</v>
      </c>
      <c r="P65" s="20">
        <f t="shared" si="4"/>
        <v>1.190057072689183E-3</v>
      </c>
      <c r="Q65" s="22">
        <f t="shared" si="6"/>
        <v>2.3044750278516492E-3</v>
      </c>
      <c r="R65" s="24">
        <f>1/150</f>
        <v>6.6666666666666671E-3</v>
      </c>
      <c r="S65">
        <f>Q65*R65/2</f>
        <v>7.6815834261721638E-6</v>
      </c>
      <c r="V65" t="s">
        <v>80</v>
      </c>
      <c r="W65" s="3">
        <v>6.2710379713399989E-2</v>
      </c>
      <c r="X65" s="20">
        <f>W65/W$152</f>
        <v>3.0872156030446754E-5</v>
      </c>
      <c r="Y65" s="20">
        <f t="shared" si="8"/>
        <v>2.6846498900197124E-4</v>
      </c>
      <c r="Z65" s="22">
        <f t="shared" si="9"/>
        <v>5.0605782197349575E-4</v>
      </c>
      <c r="AA65" s="24">
        <f t="shared" si="0"/>
        <v>6.6666666666666671E-3</v>
      </c>
      <c r="AB65" s="10">
        <f>Z65*AA65/2</f>
        <v>1.6868594065783192E-6</v>
      </c>
      <c r="AD65" t="s">
        <v>11</v>
      </c>
      <c r="AE65" s="3">
        <v>3.8832096239369403E-2</v>
      </c>
      <c r="AF65" s="20">
        <f>AE65/AE$152</f>
        <v>2.1633704419284343E-4</v>
      </c>
      <c r="AG65" s="20">
        <f t="shared" si="7"/>
        <v>4.2347540900368671E-3</v>
      </c>
      <c r="AH65" s="22">
        <f t="shared" si="5"/>
        <v>8.25317113588089E-3</v>
      </c>
      <c r="AI65" s="24">
        <f t="shared" si="1"/>
        <v>6.6666666666666671E-3</v>
      </c>
      <c r="AJ65">
        <f>AH65*AI65/2</f>
        <v>2.7510570452936301E-5</v>
      </c>
    </row>
    <row r="66" spans="1:36" x14ac:dyDescent="0.3">
      <c r="A66" t="s">
        <v>38</v>
      </c>
      <c r="B66" s="21">
        <v>55598805913.761932</v>
      </c>
      <c r="C66" s="22">
        <v>5.8597563845263503E-4</v>
      </c>
      <c r="D66" s="22">
        <f t="shared" si="2"/>
        <v>1.4367224862911924E-2</v>
      </c>
      <c r="E66" s="22">
        <f t="shared" si="3"/>
        <v>2.8148474087371214E-2</v>
      </c>
      <c r="F66" s="24">
        <f>1/150</f>
        <v>6.6666666666666671E-3</v>
      </c>
      <c r="G66">
        <f>E66*F66/2</f>
        <v>9.3828246957904047E-5</v>
      </c>
      <c r="M66" s="27" t="s">
        <v>28</v>
      </c>
      <c r="N66" s="3">
        <v>0.16739509255008</v>
      </c>
      <c r="O66" s="20">
        <v>7.5717296817908245E-5</v>
      </c>
      <c r="P66" s="20">
        <f t="shared" si="4"/>
        <v>1.2657743695070913E-3</v>
      </c>
      <c r="Q66" s="22">
        <f t="shared" si="6"/>
        <v>2.4558314421962743E-3</v>
      </c>
      <c r="R66" s="24">
        <f>1/150</f>
        <v>6.6666666666666671E-3</v>
      </c>
      <c r="S66">
        <f>Q66*R66/2</f>
        <v>8.1861048073209141E-6</v>
      </c>
      <c r="V66" t="s">
        <v>101</v>
      </c>
      <c r="W66" s="3">
        <v>6.2986954459999994E-2</v>
      </c>
      <c r="X66" s="20">
        <f>W66/W$152</f>
        <v>3.100831305533066E-5</v>
      </c>
      <c r="Y66" s="20">
        <f t="shared" si="8"/>
        <v>2.9947330205730188E-4</v>
      </c>
      <c r="Z66" s="22">
        <f t="shared" si="9"/>
        <v>5.6793829105927307E-4</v>
      </c>
      <c r="AA66" s="24">
        <f t="shared" si="0"/>
        <v>6.6666666666666671E-3</v>
      </c>
      <c r="AB66" s="10">
        <f>Z66*AA66/2</f>
        <v>1.8931276368642436E-6</v>
      </c>
      <c r="AD66" t="s">
        <v>121</v>
      </c>
      <c r="AE66" s="3">
        <v>4.0479787962026004E-2</v>
      </c>
      <c r="AF66" s="20">
        <f>AE66/AE$152</f>
        <v>2.2551648057514089E-4</v>
      </c>
      <c r="AG66" s="20">
        <f t="shared" si="7"/>
        <v>4.4602705706120079E-3</v>
      </c>
      <c r="AH66" s="22">
        <f t="shared" si="5"/>
        <v>8.695024660648875E-3</v>
      </c>
      <c r="AI66" s="24">
        <f t="shared" si="1"/>
        <v>6.6666666666666671E-3</v>
      </c>
      <c r="AJ66">
        <f>AH66*AI66/2</f>
        <v>2.8983415535496251E-5</v>
      </c>
    </row>
    <row r="67" spans="1:36" x14ac:dyDescent="0.3">
      <c r="A67" t="s">
        <v>63</v>
      </c>
      <c r="B67" s="21">
        <v>56513683533.783546</v>
      </c>
      <c r="C67" s="22">
        <v>5.9561785987605404E-4</v>
      </c>
      <c r="D67" s="22">
        <f t="shared" si="2"/>
        <v>1.4962842722787978E-2</v>
      </c>
      <c r="E67" s="22">
        <f t="shared" si="3"/>
        <v>2.93300675856999E-2</v>
      </c>
      <c r="F67" s="24">
        <f>1/150</f>
        <v>6.6666666666666671E-3</v>
      </c>
      <c r="G67">
        <f>E67*F67/2</f>
        <v>9.776689195233301E-5</v>
      </c>
      <c r="M67" s="27" t="s">
        <v>122</v>
      </c>
      <c r="N67" s="3">
        <v>0.18417999000399179</v>
      </c>
      <c r="O67" s="20">
        <v>8.3309556801251371E-5</v>
      </c>
      <c r="P67" s="20">
        <f t="shared" si="4"/>
        <v>1.3490839263083426E-3</v>
      </c>
      <c r="Q67" s="22">
        <f t="shared" si="6"/>
        <v>2.6148582958154341E-3</v>
      </c>
      <c r="R67" s="24">
        <f>1/150</f>
        <v>6.6666666666666671E-3</v>
      </c>
      <c r="S67">
        <f>Q67*R67/2</f>
        <v>8.7161943193847807E-6</v>
      </c>
      <c r="V67" t="s">
        <v>142</v>
      </c>
      <c r="W67" s="3">
        <v>7.309365592E-2</v>
      </c>
      <c r="X67" s="20">
        <f>W67/W$152</f>
        <v>3.5983815768792826E-5</v>
      </c>
      <c r="Y67" s="20">
        <f t="shared" si="8"/>
        <v>3.3545711782609469E-4</v>
      </c>
      <c r="Z67" s="22">
        <f t="shared" si="9"/>
        <v>6.3493041988339663E-4</v>
      </c>
      <c r="AA67" s="24">
        <f t="shared" ref="AA67:AA130" si="10">1/150</f>
        <v>6.6666666666666671E-3</v>
      </c>
      <c r="AB67" s="10">
        <f>Z67*AA67/2</f>
        <v>2.1164347329446556E-6</v>
      </c>
      <c r="AD67" t="s">
        <v>140</v>
      </c>
      <c r="AE67" s="3">
        <v>4.0817258337288012E-2</v>
      </c>
      <c r="AF67" s="20">
        <f>AE67/AE$152</f>
        <v>2.2739655789666378E-4</v>
      </c>
      <c r="AG67" s="20">
        <f t="shared" si="7"/>
        <v>4.687667128508672E-3</v>
      </c>
      <c r="AH67" s="22">
        <f t="shared" si="5"/>
        <v>9.1479376991206798E-3</v>
      </c>
      <c r="AI67" s="24">
        <f t="shared" ref="AI67:AI130" si="11">1/150</f>
        <v>6.6666666666666671E-3</v>
      </c>
      <c r="AJ67">
        <f>AH67*AI67/2</f>
        <v>3.04931256637356E-5</v>
      </c>
    </row>
    <row r="68" spans="1:36" x14ac:dyDescent="0.3">
      <c r="A68" t="s">
        <v>87</v>
      </c>
      <c r="B68" s="21">
        <v>56804949261.297356</v>
      </c>
      <c r="C68" s="22">
        <v>5.9868761322478604E-4</v>
      </c>
      <c r="D68" s="22">
        <f t="shared" ref="D68:D131" si="12">C68+D67</f>
        <v>1.5561530336012763E-2</v>
      </c>
      <c r="E68" s="22">
        <f t="shared" ref="E68:E131" si="13">D68+D67</f>
        <v>3.0524373058800743E-2</v>
      </c>
      <c r="F68" s="24">
        <f>1/150</f>
        <v>6.6666666666666671E-3</v>
      </c>
      <c r="G68">
        <f>E68*F68/2</f>
        <v>1.0174791019600248E-4</v>
      </c>
      <c r="M68" s="27" t="s">
        <v>88</v>
      </c>
      <c r="N68" s="3">
        <v>0.18679398693076998</v>
      </c>
      <c r="O68" s="20">
        <v>8.4491937826709155E-5</v>
      </c>
      <c r="P68" s="20">
        <f t="shared" ref="P68:P131" si="14">O68+P67</f>
        <v>1.4335758641350518E-3</v>
      </c>
      <c r="Q68" s="22">
        <f t="shared" si="6"/>
        <v>2.7826597904433946E-3</v>
      </c>
      <c r="R68" s="24">
        <f>1/150</f>
        <v>6.6666666666666671E-3</v>
      </c>
      <c r="S68">
        <f>Q68*R68/2</f>
        <v>9.2755326348113161E-6</v>
      </c>
      <c r="V68" t="s">
        <v>155</v>
      </c>
      <c r="W68" s="3">
        <v>8.0871535019999996E-2</v>
      </c>
      <c r="X68" s="20">
        <f>W68/W$152</f>
        <v>3.9812845321134093E-5</v>
      </c>
      <c r="Y68" s="20">
        <f t="shared" si="8"/>
        <v>3.7526996314722876E-4</v>
      </c>
      <c r="Z68" s="22">
        <f t="shared" si="9"/>
        <v>7.1072708097332351E-4</v>
      </c>
      <c r="AA68" s="24">
        <f t="shared" si="10"/>
        <v>6.6666666666666671E-3</v>
      </c>
      <c r="AB68" s="10">
        <f>Z68*AA68/2</f>
        <v>2.3690902699110784E-6</v>
      </c>
      <c r="AD68" t="s">
        <v>90</v>
      </c>
      <c r="AE68" s="3">
        <v>4.3814015288176002E-2</v>
      </c>
      <c r="AF68" s="20">
        <f>AE68/AE$152</f>
        <v>2.4409175603696366E-4</v>
      </c>
      <c r="AG68" s="20">
        <f t="shared" si="7"/>
        <v>4.931758884545636E-3</v>
      </c>
      <c r="AH68" s="22">
        <f t="shared" ref="AH68:AH131" si="15">AG68+AG67</f>
        <v>9.619426013054308E-3</v>
      </c>
      <c r="AI68" s="24">
        <f t="shared" si="11"/>
        <v>6.6666666666666671E-3</v>
      </c>
      <c r="AJ68">
        <f>AH68*AI68/2</f>
        <v>3.2064753376847692E-5</v>
      </c>
    </row>
    <row r="69" spans="1:36" x14ac:dyDescent="0.3">
      <c r="A69" t="s">
        <v>79</v>
      </c>
      <c r="B69" s="21">
        <v>59902281408.462158</v>
      </c>
      <c r="C69" s="22">
        <v>6.3133150103147591E-4</v>
      </c>
      <c r="D69" s="22">
        <f t="shared" si="12"/>
        <v>1.6192861837044239E-2</v>
      </c>
      <c r="E69" s="22">
        <f t="shared" si="13"/>
        <v>3.1754392173057006E-2</v>
      </c>
      <c r="F69" s="24">
        <f>1/150</f>
        <v>6.6666666666666671E-3</v>
      </c>
      <c r="G69">
        <f>E69*F69/2</f>
        <v>1.0584797391019002E-4</v>
      </c>
      <c r="M69" s="27" t="s">
        <v>120</v>
      </c>
      <c r="N69" s="3">
        <v>0.20275613070848675</v>
      </c>
      <c r="O69" s="20">
        <v>9.1712044222038065E-5</v>
      </c>
      <c r="P69" s="20">
        <f t="shared" si="14"/>
        <v>1.5252879083570898E-3</v>
      </c>
      <c r="Q69" s="22">
        <f t="shared" ref="Q69:Q132" si="16">P69+P68</f>
        <v>2.9588637724921414E-3</v>
      </c>
      <c r="R69" s="24">
        <f>1/150</f>
        <v>6.6666666666666671E-3</v>
      </c>
      <c r="S69">
        <f>Q69*R69/2</f>
        <v>9.8628792416404726E-6</v>
      </c>
      <c r="V69" t="s">
        <v>79</v>
      </c>
      <c r="W69" s="3">
        <v>9.1201645905999981E-2</v>
      </c>
      <c r="X69" s="20">
        <f>W69/W$152</f>
        <v>4.4898331911103863E-5</v>
      </c>
      <c r="Y69" s="20">
        <f t="shared" si="8"/>
        <v>4.2016829505833264E-4</v>
      </c>
      <c r="Z69" s="22">
        <f t="shared" si="9"/>
        <v>7.9543825820556141E-4</v>
      </c>
      <c r="AA69" s="24">
        <f t="shared" si="10"/>
        <v>6.6666666666666671E-3</v>
      </c>
      <c r="AB69" s="10">
        <f>Z69*AA69/2</f>
        <v>2.651460860685205E-6</v>
      </c>
      <c r="AD69" t="s">
        <v>22</v>
      </c>
      <c r="AE69" s="3">
        <v>4.4793583454888569E-2</v>
      </c>
      <c r="AF69" s="20">
        <f>AE69/AE$152</f>
        <v>2.4954901697043727E-4</v>
      </c>
      <c r="AG69" s="20">
        <f t="shared" ref="AG69:AG132" si="17">AF69+AG68</f>
        <v>5.1813079015160732E-3</v>
      </c>
      <c r="AH69" s="22">
        <f t="shared" si="15"/>
        <v>1.0113066786061709E-2</v>
      </c>
      <c r="AI69" s="24">
        <f t="shared" si="11"/>
        <v>6.6666666666666671E-3</v>
      </c>
      <c r="AJ69">
        <f>AH69*AI69/2</f>
        <v>3.3710222620205698E-5</v>
      </c>
    </row>
    <row r="70" spans="1:36" x14ac:dyDescent="0.3">
      <c r="A70" t="s">
        <v>150</v>
      </c>
      <c r="B70" s="21">
        <v>60565728422.472641</v>
      </c>
      <c r="C70" s="22">
        <v>6.3832380565429978E-4</v>
      </c>
      <c r="D70" s="22">
        <f t="shared" si="12"/>
        <v>1.6831185642698539E-2</v>
      </c>
      <c r="E70" s="22">
        <f t="shared" si="13"/>
        <v>3.3024047479742774E-2</v>
      </c>
      <c r="F70" s="24">
        <f>1/150</f>
        <v>6.6666666666666671E-3</v>
      </c>
      <c r="G70">
        <f>E70*F70/2</f>
        <v>1.1008015826580925E-4</v>
      </c>
      <c r="M70" s="27" t="s">
        <v>116</v>
      </c>
      <c r="N70" s="3">
        <v>0.21151549208855799</v>
      </c>
      <c r="O70" s="20">
        <v>9.5674138662481446E-5</v>
      </c>
      <c r="P70" s="20">
        <f t="shared" si="14"/>
        <v>1.6209620470195713E-3</v>
      </c>
      <c r="Q70" s="22">
        <f t="shared" si="16"/>
        <v>3.1462499553766609E-3</v>
      </c>
      <c r="R70" s="24">
        <f>1/150</f>
        <v>6.6666666666666671E-3</v>
      </c>
      <c r="S70">
        <f>Q70*R70/2</f>
        <v>1.0487499851255537E-5</v>
      </c>
      <c r="V70" t="s">
        <v>68</v>
      </c>
      <c r="W70" s="3">
        <v>0.106860713532</v>
      </c>
      <c r="X70" s="20">
        <f>W70/W$152</f>
        <v>5.2607249976192388E-5</v>
      </c>
      <c r="Y70" s="20">
        <f t="shared" si="8"/>
        <v>4.7277554503452504E-4</v>
      </c>
      <c r="Z70" s="22">
        <f t="shared" si="9"/>
        <v>8.9294384009285768E-4</v>
      </c>
      <c r="AA70" s="24">
        <f t="shared" si="10"/>
        <v>6.6666666666666671E-3</v>
      </c>
      <c r="AB70" s="10">
        <f>Z70*AA70/2</f>
        <v>2.9764794669761924E-6</v>
      </c>
      <c r="AD70" t="s">
        <v>100</v>
      </c>
      <c r="AE70" s="3">
        <v>4.4805236725999995E-2</v>
      </c>
      <c r="AF70" s="20">
        <f>AE70/AE$152</f>
        <v>2.4961393837493433E-4</v>
      </c>
      <c r="AG70" s="20">
        <f t="shared" si="17"/>
        <v>5.4309218398910074E-3</v>
      </c>
      <c r="AH70" s="22">
        <f t="shared" si="15"/>
        <v>1.0612229741407081E-2</v>
      </c>
      <c r="AI70" s="24">
        <f t="shared" si="11"/>
        <v>6.6666666666666671E-3</v>
      </c>
      <c r="AJ70">
        <f>AH70*AI70/2</f>
        <v>3.5374099138023607E-5</v>
      </c>
    </row>
    <row r="71" spans="1:36" x14ac:dyDescent="0.3">
      <c r="A71" t="s">
        <v>85</v>
      </c>
      <c r="B71" s="21">
        <v>61690926131.84903</v>
      </c>
      <c r="C71" s="22">
        <v>6.5018266548592918E-4</v>
      </c>
      <c r="D71" s="22">
        <f t="shared" si="12"/>
        <v>1.7481368308184468E-2</v>
      </c>
      <c r="E71" s="22">
        <f t="shared" si="13"/>
        <v>3.4312553950883007E-2</v>
      </c>
      <c r="F71" s="24">
        <f>1/150</f>
        <v>6.6666666666666671E-3</v>
      </c>
      <c r="G71">
        <f>E71*F71/2</f>
        <v>1.1437517983627669E-4</v>
      </c>
      <c r="M71" s="27" t="s">
        <v>80</v>
      </c>
      <c r="N71" s="3">
        <v>0.22853446875695893</v>
      </c>
      <c r="O71" s="20">
        <v>1.0337227896222079E-4</v>
      </c>
      <c r="P71" s="20">
        <f t="shared" si="14"/>
        <v>1.724334325981792E-3</v>
      </c>
      <c r="Q71" s="22">
        <f t="shared" si="16"/>
        <v>3.3452963730013635E-3</v>
      </c>
      <c r="R71" s="24">
        <f>1/150</f>
        <v>6.6666666666666671E-3</v>
      </c>
      <c r="S71">
        <f>Q71*R71/2</f>
        <v>1.1150987910004546E-5</v>
      </c>
      <c r="V71" t="s">
        <v>41</v>
      </c>
      <c r="W71" s="3">
        <v>0.11171723311899999</v>
      </c>
      <c r="X71" s="20">
        <f>W71/W$152</f>
        <v>5.4998101875670637E-5</v>
      </c>
      <c r="Y71" s="20">
        <f t="shared" ref="Y71:Y134" si="18">X71+Y70</f>
        <v>5.277736469101957E-4</v>
      </c>
      <c r="Z71" s="22">
        <f t="shared" ref="Z71:Z134" si="19">Y71+Y70</f>
        <v>1.0005491919447209E-3</v>
      </c>
      <c r="AA71" s="24">
        <f t="shared" si="10"/>
        <v>6.6666666666666671E-3</v>
      </c>
      <c r="AB71" s="10">
        <f>Z71*AA71/2</f>
        <v>3.3351639731490697E-6</v>
      </c>
      <c r="AD71" t="s">
        <v>6</v>
      </c>
      <c r="AE71" s="3">
        <v>4.7566801773569992E-2</v>
      </c>
      <c r="AF71" s="20">
        <f>AE71/AE$152</f>
        <v>2.6499886161098326E-4</v>
      </c>
      <c r="AG71" s="20">
        <f t="shared" si="17"/>
        <v>5.6959207015019903E-3</v>
      </c>
      <c r="AH71" s="22">
        <f t="shared" si="15"/>
        <v>1.1126842541392998E-2</v>
      </c>
      <c r="AI71" s="24">
        <f t="shared" si="11"/>
        <v>6.6666666666666671E-3</v>
      </c>
      <c r="AJ71">
        <f>AH71*AI71/2</f>
        <v>3.7089475137976662E-5</v>
      </c>
    </row>
    <row r="72" spans="1:36" x14ac:dyDescent="0.3">
      <c r="A72" t="s">
        <v>73</v>
      </c>
      <c r="B72" s="21">
        <v>62030020167.739143</v>
      </c>
      <c r="C72" s="22">
        <v>6.5375649842911137E-4</v>
      </c>
      <c r="D72" s="22">
        <f t="shared" si="12"/>
        <v>1.813512480661358E-2</v>
      </c>
      <c r="E72" s="22">
        <f t="shared" si="13"/>
        <v>3.5616493114798045E-2</v>
      </c>
      <c r="F72" s="24">
        <f>1/150</f>
        <v>6.6666666666666671E-3</v>
      </c>
      <c r="G72">
        <f>E72*F72/2</f>
        <v>1.1872164371599349E-4</v>
      </c>
      <c r="M72" s="27" t="s">
        <v>41</v>
      </c>
      <c r="N72" s="3">
        <v>0.23576529820225361</v>
      </c>
      <c r="O72" s="20">
        <v>1.0664297735013949E-4</v>
      </c>
      <c r="P72" s="20">
        <f t="shared" si="14"/>
        <v>1.8309773033319315E-3</v>
      </c>
      <c r="Q72" s="22">
        <f t="shared" si="16"/>
        <v>3.5553116293137238E-3</v>
      </c>
      <c r="R72" s="24">
        <f>1/150</f>
        <v>6.6666666666666671E-3</v>
      </c>
      <c r="S72">
        <f>Q72*R72/2</f>
        <v>1.185103876437908E-5</v>
      </c>
      <c r="V72" t="s">
        <v>40</v>
      </c>
      <c r="W72" s="3">
        <v>0.12084982996599999</v>
      </c>
      <c r="X72" s="20">
        <f>W72/W$152</f>
        <v>5.9494055434113283E-5</v>
      </c>
      <c r="Y72" s="20">
        <f t="shared" si="18"/>
        <v>5.8726770234430895E-4</v>
      </c>
      <c r="Z72" s="22">
        <f t="shared" si="19"/>
        <v>1.1150413492545046E-3</v>
      </c>
      <c r="AA72" s="24">
        <f t="shared" si="10"/>
        <v>6.6666666666666671E-3</v>
      </c>
      <c r="AB72" s="10">
        <f>Z72*AA72/2</f>
        <v>3.7168044975150158E-6</v>
      </c>
      <c r="AD72" t="s">
        <v>106</v>
      </c>
      <c r="AE72" s="3">
        <v>4.7987040803758617E-2</v>
      </c>
      <c r="AF72" s="20">
        <f>AE72/AE$152</f>
        <v>2.6734005043285535E-4</v>
      </c>
      <c r="AG72" s="20">
        <f t="shared" si="17"/>
        <v>5.9632607519348457E-3</v>
      </c>
      <c r="AH72" s="22">
        <f t="shared" si="15"/>
        <v>1.1659181453436836E-2</v>
      </c>
      <c r="AI72" s="24">
        <f t="shared" si="11"/>
        <v>6.6666666666666671E-3</v>
      </c>
      <c r="AJ72">
        <f>AH72*AI72/2</f>
        <v>3.8863938178122792E-5</v>
      </c>
    </row>
    <row r="73" spans="1:36" x14ac:dyDescent="0.3">
      <c r="A73" t="s">
        <v>135</v>
      </c>
      <c r="B73" s="21">
        <v>63137226235.741531</v>
      </c>
      <c r="C73" s="22">
        <v>6.6542573793764792E-4</v>
      </c>
      <c r="D73" s="22">
        <f t="shared" si="12"/>
        <v>1.880055054455123E-2</v>
      </c>
      <c r="E73" s="22">
        <f t="shared" si="13"/>
        <v>3.6935675351164807E-2</v>
      </c>
      <c r="F73" s="24">
        <f>1/150</f>
        <v>6.6666666666666671E-3</v>
      </c>
      <c r="G73">
        <f>E73*F73/2</f>
        <v>1.2311891783721603E-4</v>
      </c>
      <c r="M73" s="27" t="s">
        <v>134</v>
      </c>
      <c r="N73" s="3">
        <v>0.25046119838144998</v>
      </c>
      <c r="O73" s="20">
        <v>1.1329032775285015E-4</v>
      </c>
      <c r="P73" s="20">
        <f t="shared" si="14"/>
        <v>1.9442676310847816E-3</v>
      </c>
      <c r="Q73" s="22">
        <f t="shared" si="16"/>
        <v>3.7752449344167129E-3</v>
      </c>
      <c r="R73" s="24">
        <f>1/150</f>
        <v>6.6666666666666671E-3</v>
      </c>
      <c r="S73">
        <f>Q73*R73/2</f>
        <v>1.2584149781389043E-5</v>
      </c>
      <c r="V73" t="s">
        <v>146</v>
      </c>
      <c r="W73" s="3">
        <v>0.12248349700199999</v>
      </c>
      <c r="X73" s="20">
        <f>W73/W$152</f>
        <v>6.0298305446115881E-5</v>
      </c>
      <c r="Y73" s="20">
        <f t="shared" si="18"/>
        <v>6.475660077904248E-4</v>
      </c>
      <c r="Z73" s="22">
        <f t="shared" si="19"/>
        <v>1.2348337101347339E-3</v>
      </c>
      <c r="AA73" s="24">
        <f t="shared" si="10"/>
        <v>6.6666666666666671E-3</v>
      </c>
      <c r="AB73" s="10">
        <f>Z73*AA73/2</f>
        <v>4.11611236711578E-6</v>
      </c>
      <c r="AD73" t="s">
        <v>74</v>
      </c>
      <c r="AE73" s="3">
        <v>4.8379173127408602E-2</v>
      </c>
      <c r="AF73" s="20">
        <f>AE73/AE$152</f>
        <v>2.6952465430558946E-4</v>
      </c>
      <c r="AG73" s="20">
        <f t="shared" si="17"/>
        <v>6.2327854062404348E-3</v>
      </c>
      <c r="AH73" s="22">
        <f t="shared" si="15"/>
        <v>1.219604615817528E-2</v>
      </c>
      <c r="AI73" s="24">
        <f t="shared" si="11"/>
        <v>6.6666666666666671E-3</v>
      </c>
      <c r="AJ73">
        <f>AH73*AI73/2</f>
        <v>4.0653487193917606E-5</v>
      </c>
    </row>
    <row r="74" spans="1:36" x14ac:dyDescent="0.3">
      <c r="A74" t="s">
        <v>45</v>
      </c>
      <c r="B74" s="21">
        <v>64204978531.949135</v>
      </c>
      <c r="C74" s="22">
        <v>6.7667916007858365E-4</v>
      </c>
      <c r="D74" s="22">
        <f t="shared" si="12"/>
        <v>1.9477229704629815E-2</v>
      </c>
      <c r="E74" s="22">
        <f t="shared" si="13"/>
        <v>3.8277780249181048E-2</v>
      </c>
      <c r="F74" s="24">
        <f>1/150</f>
        <v>6.6666666666666671E-3</v>
      </c>
      <c r="G74">
        <f>E74*F74/2</f>
        <v>1.275926008306035E-4</v>
      </c>
      <c r="M74" s="27" t="s">
        <v>124</v>
      </c>
      <c r="N74" s="3">
        <v>0.26350678801743999</v>
      </c>
      <c r="O74" s="20">
        <v>1.1919119836730598E-4</v>
      </c>
      <c r="P74" s="20">
        <f t="shared" si="14"/>
        <v>2.0634588294520875E-3</v>
      </c>
      <c r="Q74" s="22">
        <f t="shared" si="16"/>
        <v>4.0077264605368687E-3</v>
      </c>
      <c r="R74" s="24">
        <f>1/150</f>
        <v>6.6666666666666671E-3</v>
      </c>
      <c r="S74">
        <f>Q74*R74/2</f>
        <v>1.3359088201789563E-5</v>
      </c>
      <c r="V74" t="s">
        <v>120</v>
      </c>
      <c r="W74" s="3">
        <v>0.12727308244000002</v>
      </c>
      <c r="X74" s="20">
        <f>W74/W$152</f>
        <v>6.2656205838983327E-5</v>
      </c>
      <c r="Y74" s="20">
        <f t="shared" si="18"/>
        <v>7.1022221362940815E-4</v>
      </c>
      <c r="Z74" s="22">
        <f t="shared" si="19"/>
        <v>1.357788221419833E-3</v>
      </c>
      <c r="AA74" s="24">
        <f t="shared" si="10"/>
        <v>6.6666666666666671E-3</v>
      </c>
      <c r="AB74" s="10">
        <f>Z74*AA74/2</f>
        <v>4.5259607380661101E-6</v>
      </c>
      <c r="AD74" t="s">
        <v>72</v>
      </c>
      <c r="AE74" s="3">
        <v>5.081339545417999E-2</v>
      </c>
      <c r="AF74" s="20">
        <f>AE74/AE$152</f>
        <v>2.8308592227927273E-4</v>
      </c>
      <c r="AG74" s="20">
        <f t="shared" si="17"/>
        <v>6.5158713285197074E-3</v>
      </c>
      <c r="AH74" s="22">
        <f t="shared" si="15"/>
        <v>1.2748656734760142E-2</v>
      </c>
      <c r="AI74" s="24">
        <f t="shared" si="11"/>
        <v>6.6666666666666671E-3</v>
      </c>
      <c r="AJ74">
        <f>AH74*AI74/2</f>
        <v>4.2495522449200478E-5</v>
      </c>
    </row>
    <row r="75" spans="1:36" x14ac:dyDescent="0.3">
      <c r="A75" t="s">
        <v>56</v>
      </c>
      <c r="B75" s="21">
        <v>65231613490.824707</v>
      </c>
      <c r="C75" s="22">
        <v>6.8749923194160194E-4</v>
      </c>
      <c r="D75" s="22">
        <f t="shared" si="12"/>
        <v>2.0164728936571417E-2</v>
      </c>
      <c r="E75" s="22">
        <f t="shared" si="13"/>
        <v>3.9641958641201236E-2</v>
      </c>
      <c r="F75" s="24">
        <f>1/150</f>
        <v>6.6666666666666671E-3</v>
      </c>
      <c r="G75">
        <f>E75*F75/2</f>
        <v>1.3213986213733746E-4</v>
      </c>
      <c r="M75" s="27" t="s">
        <v>72</v>
      </c>
      <c r="N75" s="3">
        <v>0.27191396723958</v>
      </c>
      <c r="O75" s="20">
        <v>1.2299399135763027E-4</v>
      </c>
      <c r="P75" s="20">
        <f t="shared" si="14"/>
        <v>2.1864528208097177E-3</v>
      </c>
      <c r="Q75" s="22">
        <f t="shared" si="16"/>
        <v>4.2499116502618048E-3</v>
      </c>
      <c r="R75" s="24">
        <f>1/150</f>
        <v>6.6666666666666671E-3</v>
      </c>
      <c r="S75">
        <f>Q75*R75/2</f>
        <v>1.416637216753935E-5</v>
      </c>
      <c r="V75" t="s">
        <v>38</v>
      </c>
      <c r="W75" s="3">
        <v>0.1377781732368</v>
      </c>
      <c r="X75" s="20">
        <f>W75/W$152</f>
        <v>6.7827834581705149E-5</v>
      </c>
      <c r="Y75" s="20">
        <f t="shared" si="18"/>
        <v>7.7805004821111334E-4</v>
      </c>
      <c r="Z75" s="22">
        <f t="shared" si="19"/>
        <v>1.4882722618405216E-3</v>
      </c>
      <c r="AA75" s="24">
        <f t="shared" si="10"/>
        <v>6.6666666666666671E-3</v>
      </c>
      <c r="AB75" s="10">
        <f>Z75*AA75/2</f>
        <v>4.9609075394684056E-6</v>
      </c>
      <c r="AD75" t="s">
        <v>116</v>
      </c>
      <c r="AE75" s="3">
        <v>5.3026088989158005E-2</v>
      </c>
      <c r="AF75" s="20">
        <f>AE75/AE$152</f>
        <v>2.9541303375198402E-4</v>
      </c>
      <c r="AG75" s="20">
        <f t="shared" si="17"/>
        <v>6.8112843622716917E-3</v>
      </c>
      <c r="AH75" s="22">
        <f t="shared" si="15"/>
        <v>1.33271556907914E-2</v>
      </c>
      <c r="AI75" s="24">
        <f t="shared" si="11"/>
        <v>6.6666666666666671E-3</v>
      </c>
      <c r="AJ75">
        <f>AH75*AI75/2</f>
        <v>4.4423852302638003E-5</v>
      </c>
    </row>
    <row r="76" spans="1:36" x14ac:dyDescent="0.3">
      <c r="A76" t="s">
        <v>48</v>
      </c>
      <c r="B76" s="21">
        <v>69027943227.324402</v>
      </c>
      <c r="C76" s="22">
        <v>7.2751010455948857E-4</v>
      </c>
      <c r="D76" s="22">
        <f t="shared" si="12"/>
        <v>2.0892239041130908E-2</v>
      </c>
      <c r="E76" s="22">
        <f t="shared" si="13"/>
        <v>4.1056967977702322E-2</v>
      </c>
      <c r="F76" s="24">
        <f>1/150</f>
        <v>6.6666666666666671E-3</v>
      </c>
      <c r="G76">
        <f>E76*F76/2</f>
        <v>1.3685655992567441E-4</v>
      </c>
      <c r="M76" s="27" t="s">
        <v>75</v>
      </c>
      <c r="N76" s="3">
        <v>0.302774316225634</v>
      </c>
      <c r="O76" s="20">
        <v>1.3695295615453565E-4</v>
      </c>
      <c r="P76" s="20">
        <f t="shared" si="14"/>
        <v>2.3234057769642535E-3</v>
      </c>
      <c r="Q76" s="22">
        <f t="shared" si="16"/>
        <v>4.5098585977739712E-3</v>
      </c>
      <c r="R76" s="24">
        <f>1/150</f>
        <v>6.6666666666666671E-3</v>
      </c>
      <c r="S76">
        <f>Q76*R76/2</f>
        <v>1.5032861992579906E-5</v>
      </c>
      <c r="V76" t="s">
        <v>116</v>
      </c>
      <c r="W76" s="3">
        <v>0.15848940309939999</v>
      </c>
      <c r="X76" s="20">
        <f>W76/W$152</f>
        <v>7.8023918911330215E-5</v>
      </c>
      <c r="Y76" s="20">
        <f t="shared" si="18"/>
        <v>8.560739671224436E-4</v>
      </c>
      <c r="Z76" s="22">
        <f t="shared" si="19"/>
        <v>1.6341240153335569E-3</v>
      </c>
      <c r="AA76" s="24">
        <f t="shared" si="10"/>
        <v>6.6666666666666671E-3</v>
      </c>
      <c r="AB76" s="10">
        <f>Z76*AA76/2</f>
        <v>5.4470800511118571E-6</v>
      </c>
      <c r="AD76" t="s">
        <v>30</v>
      </c>
      <c r="AE76" s="3">
        <v>6.0033887812698E-2</v>
      </c>
      <c r="AF76" s="20">
        <f>AE76/AE$152</f>
        <v>3.344541010803479E-4</v>
      </c>
      <c r="AG76" s="20">
        <f t="shared" si="17"/>
        <v>7.1457384633520395E-3</v>
      </c>
      <c r="AH76" s="22">
        <f t="shared" si="15"/>
        <v>1.3957022825623732E-2</v>
      </c>
      <c r="AI76" s="24">
        <f t="shared" si="11"/>
        <v>6.6666666666666671E-3</v>
      </c>
      <c r="AJ76">
        <f>AH76*AI76/2</f>
        <v>4.6523409418745774E-5</v>
      </c>
    </row>
    <row r="77" spans="1:36" x14ac:dyDescent="0.3">
      <c r="A77" t="s">
        <v>5</v>
      </c>
      <c r="B77" s="21">
        <v>70508886559.21376</v>
      </c>
      <c r="C77" s="22">
        <v>7.43118294342594E-4</v>
      </c>
      <c r="D77" s="22">
        <f t="shared" si="12"/>
        <v>2.1635357335473501E-2</v>
      </c>
      <c r="E77" s="22">
        <f t="shared" si="13"/>
        <v>4.2527596376604408E-2</v>
      </c>
      <c r="F77" s="24">
        <f>1/150</f>
        <v>6.6666666666666671E-3</v>
      </c>
      <c r="G77">
        <f>E77*F77/2</f>
        <v>1.4175865458868138E-4</v>
      </c>
      <c r="M77" s="27" t="s">
        <v>113</v>
      </c>
      <c r="N77" s="3">
        <v>0.31284412554874974</v>
      </c>
      <c r="O77" s="20">
        <v>1.415078014000137E-4</v>
      </c>
      <c r="P77" s="20">
        <f t="shared" si="14"/>
        <v>2.4649135783642671E-3</v>
      </c>
      <c r="Q77" s="22">
        <f t="shared" si="16"/>
        <v>4.788319355328521E-3</v>
      </c>
      <c r="R77" s="24">
        <f>1/150</f>
        <v>6.6666666666666671E-3</v>
      </c>
      <c r="S77">
        <f>Q77*R77/2</f>
        <v>1.5961064517761737E-5</v>
      </c>
      <c r="V77" t="s">
        <v>70</v>
      </c>
      <c r="W77" s="3">
        <v>0.16421638864559995</v>
      </c>
      <c r="X77" s="20">
        <f>W77/W$152</f>
        <v>8.0843298927436527E-5</v>
      </c>
      <c r="Y77" s="20">
        <f t="shared" si="18"/>
        <v>9.3691726604988015E-4</v>
      </c>
      <c r="Z77" s="22">
        <f t="shared" si="19"/>
        <v>1.7929912331723238E-3</v>
      </c>
      <c r="AA77" s="24">
        <f t="shared" si="10"/>
        <v>6.6666666666666671E-3</v>
      </c>
      <c r="AB77" s="10">
        <f>Z77*AA77/2</f>
        <v>5.9766374439077466E-6</v>
      </c>
      <c r="AD77" t="s">
        <v>93</v>
      </c>
      <c r="AE77" s="3">
        <v>6.0297673897259998E-2</v>
      </c>
      <c r="AF77" s="20">
        <f>AE77/AE$152</f>
        <v>3.359236766984545E-4</v>
      </c>
      <c r="AG77" s="20">
        <f t="shared" si="17"/>
        <v>7.4816621400504938E-3</v>
      </c>
      <c r="AH77" s="22">
        <f t="shared" si="15"/>
        <v>1.4627400603402533E-2</v>
      </c>
      <c r="AI77" s="24">
        <f t="shared" si="11"/>
        <v>6.6666666666666671E-3</v>
      </c>
      <c r="AJ77">
        <f>AH77*AI77/2</f>
        <v>4.875800201134178E-5</v>
      </c>
    </row>
    <row r="78" spans="1:36" x14ac:dyDescent="0.3">
      <c r="A78" t="s">
        <v>136</v>
      </c>
      <c r="B78" s="21">
        <v>74463225268.464447</v>
      </c>
      <c r="C78" s="22">
        <v>7.8479447986005307E-4</v>
      </c>
      <c r="D78" s="22">
        <f t="shared" si="12"/>
        <v>2.2420151815333553E-2</v>
      </c>
      <c r="E78" s="22">
        <f t="shared" si="13"/>
        <v>4.4055509150807054E-2</v>
      </c>
      <c r="F78" s="24">
        <f>1/150</f>
        <v>6.6666666666666671E-3</v>
      </c>
      <c r="G78">
        <f>E78*F78/2</f>
        <v>1.4685169716935687E-4</v>
      </c>
      <c r="M78" s="27" t="s">
        <v>38</v>
      </c>
      <c r="N78" s="3">
        <v>0.31335849258725201</v>
      </c>
      <c r="O78" s="20">
        <v>1.4174046342811929E-4</v>
      </c>
      <c r="P78" s="20">
        <f t="shared" si="14"/>
        <v>2.6066540417923863E-3</v>
      </c>
      <c r="Q78" s="22">
        <f t="shared" si="16"/>
        <v>5.0715676201566534E-3</v>
      </c>
      <c r="R78" s="24">
        <f>1/150</f>
        <v>6.6666666666666671E-3</v>
      </c>
      <c r="S78">
        <f>Q78*R78/2</f>
        <v>1.6905225400522179E-5</v>
      </c>
      <c r="V78" t="s">
        <v>104</v>
      </c>
      <c r="W78" s="3">
        <v>0.17453966492</v>
      </c>
      <c r="X78" s="20">
        <f>W78/W$152</f>
        <v>8.5925420855978879E-5</v>
      </c>
      <c r="Y78" s="20">
        <f t="shared" si="18"/>
        <v>1.022842686905859E-3</v>
      </c>
      <c r="Z78" s="22">
        <f t="shared" si="19"/>
        <v>1.9597599529557392E-3</v>
      </c>
      <c r="AA78" s="24">
        <f t="shared" si="10"/>
        <v>6.6666666666666671E-3</v>
      </c>
      <c r="AB78" s="10">
        <f>Z78*AA78/2</f>
        <v>6.532533176519131E-6</v>
      </c>
      <c r="AD78" t="s">
        <v>134</v>
      </c>
      <c r="AE78" s="3">
        <v>6.0795697461449999E-2</v>
      </c>
      <c r="AF78" s="20">
        <f>AE78/AE$152</f>
        <v>3.3869821004198333E-4</v>
      </c>
      <c r="AG78" s="20">
        <f t="shared" si="17"/>
        <v>7.8203603500924777E-3</v>
      </c>
      <c r="AH78" s="22">
        <f t="shared" si="15"/>
        <v>1.5302022490142972E-2</v>
      </c>
      <c r="AI78" s="24">
        <f t="shared" si="11"/>
        <v>6.6666666666666671E-3</v>
      </c>
      <c r="AJ78">
        <f>AH78*AI78/2</f>
        <v>5.1006741633809905E-5</v>
      </c>
    </row>
    <row r="79" spans="1:36" x14ac:dyDescent="0.3">
      <c r="A79" t="s">
        <v>120</v>
      </c>
      <c r="B79" s="21">
        <v>74629231909.51947</v>
      </c>
      <c r="C79" s="22">
        <v>7.8654408303733127E-4</v>
      </c>
      <c r="D79" s="22">
        <f t="shared" si="12"/>
        <v>2.3206695898370884E-2</v>
      </c>
      <c r="E79" s="22">
        <f t="shared" si="13"/>
        <v>4.5626847713704441E-2</v>
      </c>
      <c r="F79" s="24">
        <f>1/150</f>
        <v>6.6666666666666671E-3</v>
      </c>
      <c r="G79">
        <f>E79*F79/2</f>
        <v>1.5208949237901481E-4</v>
      </c>
      <c r="M79" s="27" t="s">
        <v>19</v>
      </c>
      <c r="N79" s="3">
        <v>0.32808788435146197</v>
      </c>
      <c r="O79" s="20">
        <v>1.4840296297436066E-4</v>
      </c>
      <c r="P79" s="20">
        <f t="shared" si="14"/>
        <v>2.7550570047667469E-3</v>
      </c>
      <c r="Q79" s="22">
        <f t="shared" si="16"/>
        <v>5.3617110465591332E-3</v>
      </c>
      <c r="R79" s="24">
        <f>1/150</f>
        <v>6.6666666666666671E-3</v>
      </c>
      <c r="S79">
        <f>Q79*R79/2</f>
        <v>1.787237015519711E-5</v>
      </c>
      <c r="V79" t="s">
        <v>134</v>
      </c>
      <c r="W79" s="3">
        <v>0.18966550091999998</v>
      </c>
      <c r="X79" s="20">
        <f>W79/W$152</f>
        <v>9.3371830385263966E-5</v>
      </c>
      <c r="Y79" s="20">
        <f t="shared" si="18"/>
        <v>1.1162145172911228E-3</v>
      </c>
      <c r="Z79" s="22">
        <f t="shared" si="19"/>
        <v>2.139057204196982E-3</v>
      </c>
      <c r="AA79" s="24">
        <f t="shared" si="10"/>
        <v>6.6666666666666671E-3</v>
      </c>
      <c r="AB79" s="10">
        <f>Z79*AA79/2</f>
        <v>7.1301906806566072E-6</v>
      </c>
      <c r="AD79" t="s">
        <v>63</v>
      </c>
      <c r="AE79" s="3">
        <v>6.1903530828019214E-2</v>
      </c>
      <c r="AF79" s="20">
        <f>AE79/AE$152</f>
        <v>3.4487004775335595E-4</v>
      </c>
      <c r="AG79" s="20">
        <f t="shared" si="17"/>
        <v>8.1652303978458334E-3</v>
      </c>
      <c r="AH79" s="22">
        <f t="shared" si="15"/>
        <v>1.5985590747938309E-2</v>
      </c>
      <c r="AI79" s="24">
        <f t="shared" si="11"/>
        <v>6.6666666666666671E-3</v>
      </c>
      <c r="AJ79">
        <f>AH79*AI79/2</f>
        <v>5.3285302493127703E-5</v>
      </c>
    </row>
    <row r="80" spans="1:36" x14ac:dyDescent="0.3">
      <c r="A80" t="s">
        <v>55</v>
      </c>
      <c r="B80" s="21">
        <v>76264229553.430679</v>
      </c>
      <c r="C80" s="22">
        <v>8.0377590614060912E-4</v>
      </c>
      <c r="D80" s="22">
        <f t="shared" si="12"/>
        <v>2.4010471804511494E-2</v>
      </c>
      <c r="E80" s="22">
        <f t="shared" si="13"/>
        <v>4.7217167702882382E-2</v>
      </c>
      <c r="F80" s="24">
        <f>1/150</f>
        <v>6.6666666666666671E-3</v>
      </c>
      <c r="G80">
        <f>E80*F80/2</f>
        <v>1.5739055900960795E-4</v>
      </c>
      <c r="M80" s="27" t="s">
        <v>126</v>
      </c>
      <c r="N80" s="3">
        <v>0.33750436542927997</v>
      </c>
      <c r="O80" s="20">
        <v>1.5266229030521449E-4</v>
      </c>
      <c r="P80" s="20">
        <f t="shared" si="14"/>
        <v>2.9077192950719612E-3</v>
      </c>
      <c r="Q80" s="22">
        <f t="shared" si="16"/>
        <v>5.6627762998387081E-3</v>
      </c>
      <c r="R80" s="24">
        <f>1/150</f>
        <v>6.6666666666666671E-3</v>
      </c>
      <c r="S80">
        <f>Q80*R80/2</f>
        <v>1.8875920999462362E-5</v>
      </c>
      <c r="V80" t="s">
        <v>72</v>
      </c>
      <c r="W80" s="3">
        <v>0.22110057178539999</v>
      </c>
      <c r="X80" s="20">
        <f>W80/W$152</f>
        <v>1.0884723361229003E-4</v>
      </c>
      <c r="Y80" s="20">
        <f t="shared" si="18"/>
        <v>1.225061750903413E-3</v>
      </c>
      <c r="Z80" s="22">
        <f t="shared" si="19"/>
        <v>2.3412762681945358E-3</v>
      </c>
      <c r="AA80" s="24">
        <f t="shared" si="10"/>
        <v>6.6666666666666671E-3</v>
      </c>
      <c r="AB80" s="10">
        <f>Z80*AA80/2</f>
        <v>7.80425422731512E-6</v>
      </c>
      <c r="AD80" t="s">
        <v>25</v>
      </c>
      <c r="AE80" s="3">
        <v>6.6682012768166002E-2</v>
      </c>
      <c r="AF80" s="20">
        <f>AE80/AE$152</f>
        <v>3.7149139346407691E-4</v>
      </c>
      <c r="AG80" s="20">
        <f t="shared" si="17"/>
        <v>8.5367217913099105E-3</v>
      </c>
      <c r="AH80" s="22">
        <f t="shared" si="15"/>
        <v>1.6701952189155746E-2</v>
      </c>
      <c r="AI80" s="24">
        <f t="shared" si="11"/>
        <v>6.6666666666666671E-3</v>
      </c>
      <c r="AJ80">
        <f>AH80*AI80/2</f>
        <v>5.5673173963852493E-5</v>
      </c>
    </row>
    <row r="81" spans="1:36" x14ac:dyDescent="0.3">
      <c r="A81" t="s">
        <v>115</v>
      </c>
      <c r="B81" s="21">
        <v>76504096839.437027</v>
      </c>
      <c r="C81" s="22">
        <v>8.0630395298894402E-4</v>
      </c>
      <c r="D81" s="22">
        <f t="shared" si="12"/>
        <v>2.4816775757500437E-2</v>
      </c>
      <c r="E81" s="22">
        <f t="shared" si="13"/>
        <v>4.8827247562011927E-2</v>
      </c>
      <c r="F81" s="24">
        <f>1/150</f>
        <v>6.6666666666666671E-3</v>
      </c>
      <c r="G81">
        <f>E81*F81/2</f>
        <v>1.6275749187337311E-4</v>
      </c>
      <c r="M81" s="27" t="s">
        <v>99</v>
      </c>
      <c r="N81" s="3">
        <v>0.35768593104497637</v>
      </c>
      <c r="O81" s="20">
        <v>1.6179095453721168E-4</v>
      </c>
      <c r="P81" s="20">
        <f t="shared" si="14"/>
        <v>3.0695102496091729E-3</v>
      </c>
      <c r="Q81" s="22">
        <f t="shared" si="16"/>
        <v>5.9772295446811341E-3</v>
      </c>
      <c r="R81" s="24">
        <f>1/150</f>
        <v>6.6666666666666671E-3</v>
      </c>
      <c r="S81">
        <f>Q81*R81/2</f>
        <v>1.9924098482270449E-5</v>
      </c>
      <c r="V81" t="s">
        <v>7</v>
      </c>
      <c r="W81" s="3">
        <v>0.22597891183396002</v>
      </c>
      <c r="X81" s="20">
        <f>W81/W$152</f>
        <v>1.1124882766796342E-4</v>
      </c>
      <c r="Y81" s="20">
        <f t="shared" si="18"/>
        <v>1.3363105785713764E-3</v>
      </c>
      <c r="Z81" s="22">
        <f t="shared" si="19"/>
        <v>2.5613723294747896E-3</v>
      </c>
      <c r="AA81" s="24">
        <f t="shared" si="10"/>
        <v>6.6666666666666671E-3</v>
      </c>
      <c r="AB81" s="10">
        <f>Z81*AA81/2</f>
        <v>8.5379077649159652E-6</v>
      </c>
      <c r="AD81" t="s">
        <v>101</v>
      </c>
      <c r="AE81" s="3">
        <v>6.6808835341901421E-2</v>
      </c>
      <c r="AF81" s="20">
        <f>AE81/AE$152</f>
        <v>3.7219793324420425E-4</v>
      </c>
      <c r="AG81" s="20">
        <f t="shared" si="17"/>
        <v>8.9089197245541141E-3</v>
      </c>
      <c r="AH81" s="22">
        <f t="shared" si="15"/>
        <v>1.7445641515864023E-2</v>
      </c>
      <c r="AI81" s="24">
        <f t="shared" si="11"/>
        <v>6.6666666666666671E-3</v>
      </c>
      <c r="AJ81">
        <f>AH81*AI81/2</f>
        <v>5.8152138386213413E-5</v>
      </c>
    </row>
    <row r="82" spans="1:36" x14ac:dyDescent="0.3">
      <c r="A82" t="s">
        <v>52</v>
      </c>
      <c r="B82" s="21">
        <v>77318963569.703064</v>
      </c>
      <c r="C82" s="22">
        <v>8.1489212398783346E-4</v>
      </c>
      <c r="D82" s="22">
        <f t="shared" si="12"/>
        <v>2.5631667881488272E-2</v>
      </c>
      <c r="E82" s="22">
        <f t="shared" si="13"/>
        <v>5.0448443638988705E-2</v>
      </c>
      <c r="F82" s="24">
        <f>1/150</f>
        <v>6.6666666666666671E-3</v>
      </c>
      <c r="G82">
        <f>E82*F82/2</f>
        <v>1.6816147879662903E-4</v>
      </c>
      <c r="M82" s="27" t="s">
        <v>159</v>
      </c>
      <c r="N82" s="3">
        <v>0.36842892883341805</v>
      </c>
      <c r="O82" s="20">
        <v>1.6665030100830499E-4</v>
      </c>
      <c r="P82" s="20">
        <f t="shared" si="14"/>
        <v>3.2361605506174779E-3</v>
      </c>
      <c r="Q82" s="22">
        <f t="shared" si="16"/>
        <v>6.3056708002266508E-3</v>
      </c>
      <c r="R82" s="24">
        <f>1/150</f>
        <v>6.6666666666666671E-3</v>
      </c>
      <c r="S82">
        <f>Q82*R82/2</f>
        <v>2.1018902667422171E-5</v>
      </c>
      <c r="V82" t="s">
        <v>126</v>
      </c>
      <c r="W82" s="3">
        <v>0.25131341421399994</v>
      </c>
      <c r="X82" s="20">
        <f>W82/W$152</f>
        <v>1.2372093697434657E-4</v>
      </c>
      <c r="Y82" s="20">
        <f t="shared" si="18"/>
        <v>1.460031515545723E-3</v>
      </c>
      <c r="Z82" s="22">
        <f t="shared" si="19"/>
        <v>2.7963420941170994E-3</v>
      </c>
      <c r="AA82" s="24">
        <f t="shared" si="10"/>
        <v>6.6666666666666671E-3</v>
      </c>
      <c r="AB82" s="10">
        <f>Z82*AA82/2</f>
        <v>9.3211403137236656E-6</v>
      </c>
      <c r="AD82" t="s">
        <v>52</v>
      </c>
      <c r="AE82" s="3">
        <v>6.6944247144875998E-2</v>
      </c>
      <c r="AF82" s="20">
        <f>AE82/AE$152</f>
        <v>3.7295232438043767E-4</v>
      </c>
      <c r="AG82" s="20">
        <f t="shared" si="17"/>
        <v>9.2818720489345526E-3</v>
      </c>
      <c r="AH82" s="22">
        <f t="shared" si="15"/>
        <v>1.8190791773488667E-2</v>
      </c>
      <c r="AI82" s="24">
        <f t="shared" si="11"/>
        <v>6.6666666666666671E-3</v>
      </c>
      <c r="AJ82">
        <f>AH82*AI82/2</f>
        <v>6.063597257829556E-5</v>
      </c>
    </row>
    <row r="83" spans="1:36" x14ac:dyDescent="0.3">
      <c r="A83" t="s">
        <v>94</v>
      </c>
      <c r="B83" s="21">
        <v>78535131747.32251</v>
      </c>
      <c r="C83" s="22">
        <v>8.2770975401844419E-4</v>
      </c>
      <c r="D83" s="22">
        <f t="shared" si="12"/>
        <v>2.6459377635506716E-2</v>
      </c>
      <c r="E83" s="22">
        <f t="shared" si="13"/>
        <v>5.2091045516994991E-2</v>
      </c>
      <c r="F83" s="24">
        <f>1/150</f>
        <v>6.6666666666666671E-3</v>
      </c>
      <c r="G83">
        <f>E83*F83/2</f>
        <v>1.7363681838998332E-4</v>
      </c>
      <c r="M83" s="27" t="s">
        <v>104</v>
      </c>
      <c r="N83" s="3">
        <v>0.38972619020094007</v>
      </c>
      <c r="O83" s="20">
        <v>1.7628362439794259E-4</v>
      </c>
      <c r="P83" s="20">
        <f t="shared" si="14"/>
        <v>3.4124441750154203E-3</v>
      </c>
      <c r="Q83" s="22">
        <f t="shared" si="16"/>
        <v>6.6486047256328982E-3</v>
      </c>
      <c r="R83" s="24">
        <f>1/150</f>
        <v>6.6666666666666671E-3</v>
      </c>
      <c r="S83">
        <f>Q83*R83/2</f>
        <v>2.2162015752109661E-5</v>
      </c>
      <c r="V83" t="s">
        <v>124</v>
      </c>
      <c r="W83" s="3">
        <v>0.26111979261679996</v>
      </c>
      <c r="X83" s="20">
        <f>W83/W$152</f>
        <v>1.2854859143168602E-4</v>
      </c>
      <c r="Y83" s="20">
        <f t="shared" si="18"/>
        <v>1.5885801069774089E-3</v>
      </c>
      <c r="Z83" s="22">
        <f t="shared" si="19"/>
        <v>3.0486116225231317E-3</v>
      </c>
      <c r="AA83" s="24">
        <f t="shared" si="10"/>
        <v>6.6666666666666671E-3</v>
      </c>
      <c r="AB83" s="10">
        <f>Z83*AA83/2</f>
        <v>1.0162038741743773E-5</v>
      </c>
      <c r="AD83" t="s">
        <v>62</v>
      </c>
      <c r="AE83" s="3">
        <v>6.9572222560496805E-2</v>
      </c>
      <c r="AF83" s="20">
        <f>AE83/AE$152</f>
        <v>3.8759300795626974E-4</v>
      </c>
      <c r="AG83" s="20">
        <f t="shared" si="17"/>
        <v>9.6694650568908223E-3</v>
      </c>
      <c r="AH83" s="22">
        <f t="shared" si="15"/>
        <v>1.8951337105825375E-2</v>
      </c>
      <c r="AI83" s="24">
        <f t="shared" si="11"/>
        <v>6.6666666666666671E-3</v>
      </c>
      <c r="AJ83">
        <f>AH83*AI83/2</f>
        <v>6.317112368608459E-5</v>
      </c>
    </row>
    <row r="84" spans="1:36" x14ac:dyDescent="0.3">
      <c r="A84" t="s">
        <v>159</v>
      </c>
      <c r="B84" s="21">
        <v>81046145427.256119</v>
      </c>
      <c r="C84" s="22">
        <v>8.5417422245585351E-4</v>
      </c>
      <c r="D84" s="22">
        <f t="shared" si="12"/>
        <v>2.7313551857962571E-2</v>
      </c>
      <c r="E84" s="22">
        <f t="shared" si="13"/>
        <v>5.377292949346929E-2</v>
      </c>
      <c r="F84" s="24">
        <f>1/150</f>
        <v>6.6666666666666671E-3</v>
      </c>
      <c r="G84">
        <f>E84*F84/2</f>
        <v>1.7924309831156431E-4</v>
      </c>
      <c r="M84" s="27" t="s">
        <v>30</v>
      </c>
      <c r="N84" s="3">
        <v>0.41053715043069805</v>
      </c>
      <c r="O84" s="20">
        <v>1.8569698072026637E-4</v>
      </c>
      <c r="P84" s="20">
        <f t="shared" si="14"/>
        <v>3.5981411557356865E-3</v>
      </c>
      <c r="Q84" s="22">
        <f t="shared" si="16"/>
        <v>7.0105853307511068E-3</v>
      </c>
      <c r="R84" s="24">
        <f>1/150</f>
        <v>6.6666666666666671E-3</v>
      </c>
      <c r="S84">
        <f>Q84*R84/2</f>
        <v>2.3368617769170357E-5</v>
      </c>
      <c r="V84" t="s">
        <v>75</v>
      </c>
      <c r="W84" s="3">
        <v>0.27889055785082001</v>
      </c>
      <c r="X84" s="20">
        <f>W84/W$152</f>
        <v>1.3729709270998201E-4</v>
      </c>
      <c r="Y84" s="20">
        <f t="shared" si="18"/>
        <v>1.725877199687391E-3</v>
      </c>
      <c r="Z84" s="22">
        <f t="shared" si="19"/>
        <v>3.3144573066648001E-3</v>
      </c>
      <c r="AA84" s="24">
        <f t="shared" si="10"/>
        <v>6.6666666666666671E-3</v>
      </c>
      <c r="AB84" s="10">
        <f>Z84*AA84/2</f>
        <v>1.1048191022216001E-5</v>
      </c>
      <c r="AD84" t="s">
        <v>95</v>
      </c>
      <c r="AE84" s="3">
        <v>7.2716455294334001E-2</v>
      </c>
      <c r="AF84" s="20">
        <f>AE84/AE$152</f>
        <v>4.051098067327184E-4</v>
      </c>
      <c r="AG84" s="20">
        <f t="shared" si="17"/>
        <v>1.007457486362354E-2</v>
      </c>
      <c r="AH84" s="22">
        <f t="shared" si="15"/>
        <v>1.9744039920514364E-2</v>
      </c>
      <c r="AI84" s="24">
        <f t="shared" si="11"/>
        <v>6.6666666666666671E-3</v>
      </c>
      <c r="AJ84">
        <f>AH84*AI84/2</f>
        <v>6.5813466401714547E-5</v>
      </c>
    </row>
    <row r="85" spans="1:36" x14ac:dyDescent="0.3">
      <c r="A85" t="s">
        <v>90</v>
      </c>
      <c r="B85" s="21">
        <v>83989981406.969528</v>
      </c>
      <c r="C85" s="22">
        <v>8.85200359426997E-4</v>
      </c>
      <c r="D85" s="22">
        <f t="shared" si="12"/>
        <v>2.8198752217389569E-2</v>
      </c>
      <c r="E85" s="22">
        <f t="shared" si="13"/>
        <v>5.551230407535214E-2</v>
      </c>
      <c r="F85" s="24">
        <f>1/150</f>
        <v>6.6666666666666671E-3</v>
      </c>
      <c r="G85">
        <f>E85*F85/2</f>
        <v>1.8504101358450716E-4</v>
      </c>
      <c r="M85" s="27" t="s">
        <v>55</v>
      </c>
      <c r="N85" s="3">
        <v>0.47194207081612594</v>
      </c>
      <c r="O85" s="20">
        <v>2.1347207562941067E-4</v>
      </c>
      <c r="P85" s="20">
        <f t="shared" si="14"/>
        <v>3.8116132313650974E-3</v>
      </c>
      <c r="Q85" s="22">
        <f t="shared" si="16"/>
        <v>7.4097543871007839E-3</v>
      </c>
      <c r="R85" s="24">
        <f>1/150</f>
        <v>6.6666666666666671E-3</v>
      </c>
      <c r="S85">
        <f>Q85*R85/2</f>
        <v>2.4699181290335949E-5</v>
      </c>
      <c r="V85" t="s">
        <v>99</v>
      </c>
      <c r="W85" s="3">
        <v>0.33929433482539995</v>
      </c>
      <c r="X85" s="20">
        <f>W85/W$152</f>
        <v>1.6703371424074063E-4</v>
      </c>
      <c r="Y85" s="20">
        <f t="shared" si="18"/>
        <v>1.8929109139281316E-3</v>
      </c>
      <c r="Z85" s="22">
        <f t="shared" si="19"/>
        <v>3.6187881136155228E-3</v>
      </c>
      <c r="AA85" s="24">
        <f t="shared" si="10"/>
        <v>6.6666666666666671E-3</v>
      </c>
      <c r="AB85" s="10">
        <f>Z85*AA85/2</f>
        <v>1.2062627045385077E-5</v>
      </c>
      <c r="AD85" t="s">
        <v>33</v>
      </c>
      <c r="AE85" s="3">
        <v>7.4640281703533595E-2</v>
      </c>
      <c r="AF85" s="20">
        <f>AE85/AE$152</f>
        <v>4.1582761388741992E-4</v>
      </c>
      <c r="AG85" s="20">
        <f t="shared" si="17"/>
        <v>1.0490402477510961E-2</v>
      </c>
      <c r="AH85" s="22">
        <f t="shared" si="15"/>
        <v>2.0564977341134501E-2</v>
      </c>
      <c r="AI85" s="24">
        <f t="shared" si="11"/>
        <v>6.6666666666666671E-3</v>
      </c>
      <c r="AJ85">
        <f>AH85*AI85/2</f>
        <v>6.8549924470448338E-5</v>
      </c>
    </row>
    <row r="86" spans="1:36" x14ac:dyDescent="0.3">
      <c r="A86" t="s">
        <v>50</v>
      </c>
      <c r="B86" s="21">
        <v>91620377320.782944</v>
      </c>
      <c r="C86" s="22">
        <v>9.6561982246687621E-4</v>
      </c>
      <c r="D86" s="22">
        <f t="shared" si="12"/>
        <v>2.9164372039856445E-2</v>
      </c>
      <c r="E86" s="22">
        <f t="shared" si="13"/>
        <v>5.7363124257246018E-2</v>
      </c>
      <c r="F86" s="24">
        <f>1/150</f>
        <v>6.6666666666666671E-3</v>
      </c>
      <c r="G86">
        <f>E86*F86/2</f>
        <v>1.9121041419082008E-4</v>
      </c>
      <c r="M86" s="27" t="s">
        <v>125</v>
      </c>
      <c r="N86" s="3">
        <v>0.48470093386125279</v>
      </c>
      <c r="O86" s="20">
        <v>2.1924325210495693E-4</v>
      </c>
      <c r="P86" s="20">
        <f t="shared" si="14"/>
        <v>4.0308564834700541E-3</v>
      </c>
      <c r="Q86" s="22">
        <f t="shared" si="16"/>
        <v>7.8424697148351506E-3</v>
      </c>
      <c r="R86" s="24">
        <f>1/150</f>
        <v>6.6666666666666671E-3</v>
      </c>
      <c r="S86">
        <f>Q86*R86/2</f>
        <v>2.614156571611717E-5</v>
      </c>
      <c r="V86" t="s">
        <v>159</v>
      </c>
      <c r="W86" s="3">
        <v>0.34360405280240003</v>
      </c>
      <c r="X86" s="20">
        <f>W86/W$152</f>
        <v>1.6915537713675939E-4</v>
      </c>
      <c r="Y86" s="20">
        <f t="shared" si="18"/>
        <v>2.0620662910648909E-3</v>
      </c>
      <c r="Z86" s="22">
        <f t="shared" si="19"/>
        <v>3.9549772049930227E-3</v>
      </c>
      <c r="AA86" s="24">
        <f t="shared" si="10"/>
        <v>6.6666666666666671E-3</v>
      </c>
      <c r="AB86" s="10">
        <f>Z86*AA86/2</f>
        <v>1.3183257349976743E-5</v>
      </c>
      <c r="AD86" t="s">
        <v>120</v>
      </c>
      <c r="AE86" s="3">
        <v>7.548304826848673E-2</v>
      </c>
      <c r="AF86" s="20">
        <f>AE86/AE$152</f>
        <v>4.205227409926539E-4</v>
      </c>
      <c r="AG86" s="20">
        <f t="shared" si="17"/>
        <v>1.0910925218503615E-2</v>
      </c>
      <c r="AH86" s="22">
        <f t="shared" si="15"/>
        <v>2.1401327696014577E-2</v>
      </c>
      <c r="AI86" s="24">
        <f t="shared" si="11"/>
        <v>6.6666666666666671E-3</v>
      </c>
      <c r="AJ86">
        <f>AH86*AI86/2</f>
        <v>7.1337758986715258E-5</v>
      </c>
    </row>
    <row r="87" spans="1:36" x14ac:dyDescent="0.3">
      <c r="A87" t="s">
        <v>104</v>
      </c>
      <c r="B87" s="21">
        <v>91751304716.640808</v>
      </c>
      <c r="C87" s="22">
        <v>9.6699971297203836E-4</v>
      </c>
      <c r="D87" s="22">
        <f t="shared" si="12"/>
        <v>3.0131371752828484E-2</v>
      </c>
      <c r="E87" s="22">
        <f t="shared" si="13"/>
        <v>5.929574379268493E-2</v>
      </c>
      <c r="F87" s="24">
        <f>1/150</f>
        <v>6.6666666666666671E-3</v>
      </c>
      <c r="G87">
        <f>E87*F87/2</f>
        <v>1.9765247930894977E-4</v>
      </c>
      <c r="M87" s="27" t="s">
        <v>96</v>
      </c>
      <c r="N87" s="3">
        <v>0.5099708842119145</v>
      </c>
      <c r="O87" s="20">
        <v>2.3067352943344211E-4</v>
      </c>
      <c r="P87" s="20">
        <f t="shared" si="14"/>
        <v>4.2615300129034963E-3</v>
      </c>
      <c r="Q87" s="22">
        <f t="shared" si="16"/>
        <v>8.2923864963735505E-3</v>
      </c>
      <c r="R87" s="24">
        <f>1/150</f>
        <v>6.6666666666666671E-3</v>
      </c>
      <c r="S87">
        <f>Q87*R87/2</f>
        <v>2.764128832124517E-5</v>
      </c>
      <c r="V87" t="s">
        <v>30</v>
      </c>
      <c r="W87" s="3">
        <v>0.35050326261800008</v>
      </c>
      <c r="X87" s="20">
        <f>W87/W$152</f>
        <v>1.725518400969172E-4</v>
      </c>
      <c r="Y87" s="20">
        <f t="shared" si="18"/>
        <v>2.2346181311618083E-3</v>
      </c>
      <c r="Z87" s="22">
        <f t="shared" si="19"/>
        <v>4.2966844222266992E-3</v>
      </c>
      <c r="AA87" s="24">
        <f t="shared" si="10"/>
        <v>6.6666666666666671E-3</v>
      </c>
      <c r="AB87" s="10">
        <f>Z87*AA87/2</f>
        <v>1.4322281407422331E-5</v>
      </c>
      <c r="AD87" t="s">
        <v>55</v>
      </c>
      <c r="AE87" s="3">
        <v>7.731783078412599E-2</v>
      </c>
      <c r="AF87" s="20">
        <f>AE87/AE$152</f>
        <v>4.3074447673731563E-4</v>
      </c>
      <c r="AG87" s="20">
        <f t="shared" si="17"/>
        <v>1.1341669695240929E-2</v>
      </c>
      <c r="AH87" s="22">
        <f t="shared" si="15"/>
        <v>2.2252594913744546E-2</v>
      </c>
      <c r="AI87" s="24">
        <f t="shared" si="11"/>
        <v>6.6666666666666671E-3</v>
      </c>
      <c r="AJ87">
        <f>AH87*AI87/2</f>
        <v>7.4175316379148493E-5</v>
      </c>
    </row>
    <row r="88" spans="1:36" x14ac:dyDescent="0.3">
      <c r="A88" t="s">
        <v>66</v>
      </c>
      <c r="B88" s="21">
        <v>104773032846.35954</v>
      </c>
      <c r="C88" s="22">
        <v>1.1042403484346765E-3</v>
      </c>
      <c r="D88" s="22">
        <f t="shared" si="12"/>
        <v>3.123561210126316E-2</v>
      </c>
      <c r="E88" s="22">
        <f t="shared" si="13"/>
        <v>6.1366983854091645E-2</v>
      </c>
      <c r="F88" s="24">
        <f>1/150</f>
        <v>6.6666666666666671E-3</v>
      </c>
      <c r="G88">
        <f>E88*F88/2</f>
        <v>2.0455661284697217E-4</v>
      </c>
      <c r="M88" s="27" t="s">
        <v>129</v>
      </c>
      <c r="N88" s="3">
        <v>0.53145619229825192</v>
      </c>
      <c r="O88" s="20">
        <v>2.403919114051879E-4</v>
      </c>
      <c r="P88" s="20">
        <f t="shared" si="14"/>
        <v>4.5019219243086842E-3</v>
      </c>
      <c r="Q88" s="22">
        <f t="shared" si="16"/>
        <v>8.7634519372121814E-3</v>
      </c>
      <c r="R88" s="24">
        <f>1/150</f>
        <v>6.6666666666666671E-3</v>
      </c>
      <c r="S88">
        <f>Q88*R88/2</f>
        <v>2.9211506457373939E-5</v>
      </c>
      <c r="V88" t="s">
        <v>55</v>
      </c>
      <c r="W88" s="3">
        <v>0.39462424003199997</v>
      </c>
      <c r="X88" s="20">
        <f>W88/W$152</f>
        <v>1.942724819614053E-4</v>
      </c>
      <c r="Y88" s="20">
        <f t="shared" si="18"/>
        <v>2.4288906131232136E-3</v>
      </c>
      <c r="Z88" s="22">
        <f t="shared" si="19"/>
        <v>4.6635087442850219E-3</v>
      </c>
      <c r="AA88" s="24">
        <f t="shared" si="10"/>
        <v>6.6666666666666671E-3</v>
      </c>
      <c r="AB88" s="10">
        <f>Z88*AA88/2</f>
        <v>1.5545029147616742E-5</v>
      </c>
      <c r="AD88" t="s">
        <v>84</v>
      </c>
      <c r="AE88" s="3">
        <v>7.7829006893695998E-2</v>
      </c>
      <c r="AF88" s="20">
        <f>AE88/AE$152</f>
        <v>4.3359228407495443E-4</v>
      </c>
      <c r="AG88" s="20">
        <f t="shared" si="17"/>
        <v>1.1775261979315884E-2</v>
      </c>
      <c r="AH88" s="22">
        <f t="shared" si="15"/>
        <v>2.3116931674556813E-2</v>
      </c>
      <c r="AI88" s="24">
        <f t="shared" si="11"/>
        <v>6.6666666666666671E-3</v>
      </c>
      <c r="AJ88">
        <f>AH88*AI88/2</f>
        <v>7.7056438915189379E-5</v>
      </c>
    </row>
    <row r="89" spans="1:36" x14ac:dyDescent="0.3">
      <c r="A89" t="s">
        <v>126</v>
      </c>
      <c r="B89" s="21">
        <v>104966566488.39067</v>
      </c>
      <c r="C89" s="22">
        <v>1.1062800684895847E-3</v>
      </c>
      <c r="D89" s="22">
        <f t="shared" si="12"/>
        <v>3.2341892169752744E-2</v>
      </c>
      <c r="E89" s="22">
        <f t="shared" si="13"/>
        <v>6.3577504271015911E-2</v>
      </c>
      <c r="F89" s="24">
        <f>1/150</f>
        <v>6.6666666666666671E-3</v>
      </c>
      <c r="G89">
        <f>E89*F89/2</f>
        <v>2.1192501423671973E-4</v>
      </c>
      <c r="M89" s="27" t="s">
        <v>100</v>
      </c>
      <c r="N89" s="3">
        <v>0.53312103232019992</v>
      </c>
      <c r="O89" s="20">
        <v>2.4114496326695892E-4</v>
      </c>
      <c r="P89" s="20">
        <f t="shared" si="14"/>
        <v>4.743066887575643E-3</v>
      </c>
      <c r="Q89" s="22">
        <f t="shared" si="16"/>
        <v>9.2449888118843263E-3</v>
      </c>
      <c r="R89" s="24">
        <f>1/150</f>
        <v>6.6666666666666671E-3</v>
      </c>
      <c r="S89">
        <f>Q89*R89/2</f>
        <v>3.0816629372947758E-5</v>
      </c>
      <c r="V89" t="s">
        <v>69</v>
      </c>
      <c r="W89" s="3">
        <v>0.45416582495319996</v>
      </c>
      <c r="X89" s="20">
        <f>W89/W$152</f>
        <v>2.2358464859774602E-4</v>
      </c>
      <c r="Y89" s="20">
        <f t="shared" si="18"/>
        <v>2.6524752617209596E-3</v>
      </c>
      <c r="Z89" s="22">
        <f t="shared" si="19"/>
        <v>5.0813658748441737E-3</v>
      </c>
      <c r="AA89" s="24">
        <f t="shared" si="10"/>
        <v>6.6666666666666671E-3</v>
      </c>
      <c r="AB89" s="10">
        <f>Z89*AA89/2</f>
        <v>1.6937886249480579E-5</v>
      </c>
      <c r="AD89" t="s">
        <v>135</v>
      </c>
      <c r="AE89" s="3">
        <v>8.4203233410059988E-2</v>
      </c>
      <c r="AF89" s="20">
        <f>AE89/AE$152</f>
        <v>4.6910366401863539E-4</v>
      </c>
      <c r="AG89" s="20">
        <f t="shared" si="17"/>
        <v>1.2244365643334519E-2</v>
      </c>
      <c r="AH89" s="22">
        <f t="shared" si="15"/>
        <v>2.4019627622650405E-2</v>
      </c>
      <c r="AI89" s="24">
        <f t="shared" si="11"/>
        <v>6.6666666666666671E-3</v>
      </c>
      <c r="AJ89">
        <f>AH89*AI89/2</f>
        <v>8.0065425408834692E-5</v>
      </c>
    </row>
    <row r="90" spans="1:36" x14ac:dyDescent="0.3">
      <c r="A90" t="s">
        <v>43</v>
      </c>
      <c r="B90" s="21">
        <v>107227789781.41272</v>
      </c>
      <c r="C90" s="22">
        <v>1.130111906980285E-3</v>
      </c>
      <c r="D90" s="22">
        <f t="shared" si="12"/>
        <v>3.3472004076733029E-2</v>
      </c>
      <c r="E90" s="22">
        <f t="shared" si="13"/>
        <v>6.5813896246485773E-2</v>
      </c>
      <c r="F90" s="24">
        <f>1/150</f>
        <v>6.6666666666666671E-3</v>
      </c>
      <c r="G90">
        <f>E90*F90/2</f>
        <v>2.1937965415495258E-4</v>
      </c>
      <c r="M90" s="27" t="s">
        <v>90</v>
      </c>
      <c r="N90" s="3">
        <v>0.54560090010217599</v>
      </c>
      <c r="O90" s="20">
        <v>2.4678994269079378E-4</v>
      </c>
      <c r="P90" s="20">
        <f t="shared" si="14"/>
        <v>4.9898568302664363E-3</v>
      </c>
      <c r="Q90" s="22">
        <f t="shared" si="16"/>
        <v>9.7329237178420784E-3</v>
      </c>
      <c r="R90" s="24">
        <f>1/150</f>
        <v>6.6666666666666671E-3</v>
      </c>
      <c r="S90">
        <f>Q90*R90/2</f>
        <v>3.2443079059473595E-5</v>
      </c>
      <c r="V90" t="s">
        <v>125</v>
      </c>
      <c r="W90" s="3">
        <v>0.47681152034199997</v>
      </c>
      <c r="X90" s="20">
        <f>W90/W$152</f>
        <v>2.3473306524991972E-4</v>
      </c>
      <c r="Y90" s="20">
        <f t="shared" si="18"/>
        <v>2.8872083269708792E-3</v>
      </c>
      <c r="Z90" s="22">
        <f t="shared" si="19"/>
        <v>5.5396835886918384E-3</v>
      </c>
      <c r="AA90" s="24">
        <f t="shared" si="10"/>
        <v>6.6666666666666671E-3</v>
      </c>
      <c r="AB90" s="10">
        <f>Z90*AA90/2</f>
        <v>1.846561196230613E-5</v>
      </c>
      <c r="AD90" t="s">
        <v>126</v>
      </c>
      <c r="AE90" s="3">
        <v>8.6190951215280018E-2</v>
      </c>
      <c r="AF90" s="20">
        <f>AE90/AE$152</f>
        <v>4.8017741579397275E-4</v>
      </c>
      <c r="AG90" s="20">
        <f t="shared" si="17"/>
        <v>1.2724543059128492E-2</v>
      </c>
      <c r="AH90" s="22">
        <f t="shared" si="15"/>
        <v>2.4968908702463009E-2</v>
      </c>
      <c r="AI90" s="24">
        <f t="shared" si="11"/>
        <v>6.6666666666666671E-3</v>
      </c>
      <c r="AJ90">
        <f>AH90*AI90/2</f>
        <v>8.3229695674876699E-5</v>
      </c>
    </row>
    <row r="91" spans="1:36" x14ac:dyDescent="0.3">
      <c r="A91" t="s">
        <v>112</v>
      </c>
      <c r="B91" s="21">
        <v>107803341999.57848</v>
      </c>
      <c r="C91" s="22">
        <v>1.136177857012119E-3</v>
      </c>
      <c r="D91" s="22">
        <f t="shared" si="12"/>
        <v>3.4608181933745145E-2</v>
      </c>
      <c r="E91" s="22">
        <f t="shared" si="13"/>
        <v>6.8080186010478175E-2</v>
      </c>
      <c r="F91" s="24">
        <f>1/150</f>
        <v>6.6666666666666671E-3</v>
      </c>
      <c r="G91">
        <f>E91*F91/2</f>
        <v>2.269339533682606E-4</v>
      </c>
      <c r="M91" s="27" t="s">
        <v>69</v>
      </c>
      <c r="N91" s="3">
        <v>0.54610433426504401</v>
      </c>
      <c r="O91" s="20">
        <v>2.4701765948557822E-4</v>
      </c>
      <c r="P91" s="20">
        <f t="shared" si="14"/>
        <v>5.2368744897520149E-3</v>
      </c>
      <c r="Q91" s="22">
        <f t="shared" si="16"/>
        <v>1.0226731320018452E-2</v>
      </c>
      <c r="R91" s="24">
        <f>1/150</f>
        <v>6.6666666666666671E-3</v>
      </c>
      <c r="S91">
        <f>Q91*R91/2</f>
        <v>3.4089104400061511E-5</v>
      </c>
      <c r="V91" t="s">
        <v>100</v>
      </c>
      <c r="W91" s="3">
        <v>0.48831579559419991</v>
      </c>
      <c r="X91" s="20">
        <f>W91/W$152</f>
        <v>2.4039658988852483E-4</v>
      </c>
      <c r="Y91" s="20">
        <f t="shared" si="18"/>
        <v>3.1276049168594039E-3</v>
      </c>
      <c r="Z91" s="22">
        <f t="shared" si="19"/>
        <v>6.0148132438302832E-3</v>
      </c>
      <c r="AA91" s="24">
        <f t="shared" si="10"/>
        <v>6.6666666666666671E-3</v>
      </c>
      <c r="AB91" s="10">
        <f>Z91*AA91/2</f>
        <v>2.0049377479434277E-5</v>
      </c>
      <c r="AD91" t="s">
        <v>69</v>
      </c>
      <c r="AE91" s="3">
        <v>9.1938509311844011E-2</v>
      </c>
      <c r="AF91" s="20">
        <f>AE91/AE$152</f>
        <v>5.1219757052043031E-4</v>
      </c>
      <c r="AG91" s="20">
        <f t="shared" si="17"/>
        <v>1.3236740629648922E-2</v>
      </c>
      <c r="AH91" s="22">
        <f t="shared" si="15"/>
        <v>2.5961283688777412E-2</v>
      </c>
      <c r="AI91" s="24">
        <f t="shared" si="11"/>
        <v>6.6666666666666671E-3</v>
      </c>
      <c r="AJ91">
        <f>AH91*AI91/2</f>
        <v>8.6537612295924712E-5</v>
      </c>
    </row>
    <row r="92" spans="1:36" x14ac:dyDescent="0.3">
      <c r="A92" t="s">
        <v>82</v>
      </c>
      <c r="B92" s="21">
        <v>108801876280.21585</v>
      </c>
      <c r="C92" s="22">
        <v>1.1467017658083058E-3</v>
      </c>
      <c r="D92" s="22">
        <f t="shared" si="12"/>
        <v>3.5754883699553451E-2</v>
      </c>
      <c r="E92" s="22">
        <f t="shared" si="13"/>
        <v>7.0363065633298597E-2</v>
      </c>
      <c r="F92" s="24">
        <f>1/150</f>
        <v>6.6666666666666671E-3</v>
      </c>
      <c r="G92">
        <f>E92*F92/2</f>
        <v>2.3454355211099533E-4</v>
      </c>
      <c r="M92" s="27" t="s">
        <v>45</v>
      </c>
      <c r="N92" s="3">
        <v>0.59803664084017405</v>
      </c>
      <c r="O92" s="20">
        <v>2.7050803672116732E-4</v>
      </c>
      <c r="P92" s="20">
        <f t="shared" si="14"/>
        <v>5.5073825264731818E-3</v>
      </c>
      <c r="Q92" s="22">
        <f t="shared" si="16"/>
        <v>1.0744257016225197E-2</v>
      </c>
      <c r="R92" s="24">
        <f>1/150</f>
        <v>6.6666666666666671E-3</v>
      </c>
      <c r="S92">
        <f>Q92*R92/2</f>
        <v>3.5814190054083988E-5</v>
      </c>
      <c r="V92" t="s">
        <v>90</v>
      </c>
      <c r="W92" s="3">
        <v>0.50178688481400002</v>
      </c>
      <c r="X92" s="20">
        <f>W92/W$152</f>
        <v>2.4702837190283263E-4</v>
      </c>
      <c r="Y92" s="20">
        <f t="shared" si="18"/>
        <v>3.3746332887622365E-3</v>
      </c>
      <c r="Z92" s="22">
        <f t="shared" si="19"/>
        <v>6.50223820562164E-3</v>
      </c>
      <c r="AA92" s="24">
        <f t="shared" si="10"/>
        <v>6.6666666666666671E-3</v>
      </c>
      <c r="AB92" s="10">
        <f>Z92*AA92/2</f>
        <v>2.1674127352072135E-5</v>
      </c>
      <c r="AD92" t="s">
        <v>13</v>
      </c>
      <c r="AE92" s="3">
        <v>0.10600172927491183</v>
      </c>
      <c r="AF92" s="20">
        <f>AE92/AE$152</f>
        <v>5.905450133133689E-4</v>
      </c>
      <c r="AG92" s="20">
        <f t="shared" si="17"/>
        <v>1.3827285642962291E-2</v>
      </c>
      <c r="AH92" s="22">
        <f t="shared" si="15"/>
        <v>2.7064026272611213E-2</v>
      </c>
      <c r="AI92" s="24">
        <f t="shared" si="11"/>
        <v>6.6666666666666671E-3</v>
      </c>
      <c r="AJ92">
        <f>AH92*AI92/2</f>
        <v>9.0213420908704048E-5</v>
      </c>
    </row>
    <row r="93" spans="1:36" x14ac:dyDescent="0.3">
      <c r="A93" t="s">
        <v>138</v>
      </c>
      <c r="B93" s="21">
        <v>116669335367.21245</v>
      </c>
      <c r="C93" s="22">
        <v>1.2296197221517118E-3</v>
      </c>
      <c r="D93" s="22">
        <f t="shared" si="12"/>
        <v>3.6984503421705166E-2</v>
      </c>
      <c r="E93" s="22">
        <f t="shared" si="13"/>
        <v>7.2739387121258617E-2</v>
      </c>
      <c r="F93" s="24">
        <f>1/150</f>
        <v>6.6666666666666671E-3</v>
      </c>
      <c r="G93">
        <f>E93*F93/2</f>
        <v>2.4246462373752874E-4</v>
      </c>
      <c r="M93" s="27" t="s">
        <v>33</v>
      </c>
      <c r="N93" s="3">
        <v>0.60902425952473349</v>
      </c>
      <c r="O93" s="20">
        <v>2.7547803179442127E-4</v>
      </c>
      <c r="P93" s="20">
        <f t="shared" si="14"/>
        <v>5.7828605582676031E-3</v>
      </c>
      <c r="Q93" s="22">
        <f t="shared" si="16"/>
        <v>1.1290243084740786E-2</v>
      </c>
      <c r="R93" s="24">
        <f>1/150</f>
        <v>6.6666666666666671E-3</v>
      </c>
      <c r="S93">
        <f>Q93*R93/2</f>
        <v>3.7634143615802619E-5</v>
      </c>
      <c r="V93" t="s">
        <v>17</v>
      </c>
      <c r="W93" s="3">
        <v>0.50250145883241804</v>
      </c>
      <c r="X93" s="20">
        <f>W93/W$152</f>
        <v>2.4738015482445941E-4</v>
      </c>
      <c r="Y93" s="20">
        <f t="shared" si="18"/>
        <v>3.6220134435866959E-3</v>
      </c>
      <c r="Z93" s="22">
        <f t="shared" si="19"/>
        <v>6.996646732348932E-3</v>
      </c>
      <c r="AA93" s="24">
        <f t="shared" si="10"/>
        <v>6.6666666666666671E-3</v>
      </c>
      <c r="AB93" s="10">
        <f>Z93*AA93/2</f>
        <v>2.3322155774496443E-5</v>
      </c>
      <c r="AD93" t="s">
        <v>26</v>
      </c>
      <c r="AE93" s="3">
        <v>0.11020517751402018</v>
      </c>
      <c r="AF93" s="20">
        <f>AE93/AE$152</f>
        <v>6.1396279539396566E-4</v>
      </c>
      <c r="AG93" s="20">
        <f t="shared" si="17"/>
        <v>1.4441248438356256E-2</v>
      </c>
      <c r="AH93" s="22">
        <f t="shared" si="15"/>
        <v>2.8268534081318547E-2</v>
      </c>
      <c r="AI93" s="24">
        <f t="shared" si="11"/>
        <v>6.6666666666666671E-3</v>
      </c>
      <c r="AJ93">
        <f>AH93*AI93/2</f>
        <v>9.4228446937728492E-5</v>
      </c>
    </row>
    <row r="94" spans="1:36" x14ac:dyDescent="0.3">
      <c r="A94" t="s">
        <v>33</v>
      </c>
      <c r="B94" s="21">
        <v>116887023610.31404</v>
      </c>
      <c r="C94" s="22">
        <v>1.2319140161592655E-3</v>
      </c>
      <c r="D94" s="22">
        <f t="shared" si="12"/>
        <v>3.8216417437864428E-2</v>
      </c>
      <c r="E94" s="22">
        <f t="shared" si="13"/>
        <v>7.5200920859569587E-2</v>
      </c>
      <c r="F94" s="24">
        <f>1/150</f>
        <v>6.6666666666666671E-3</v>
      </c>
      <c r="G94">
        <f>E94*F94/2</f>
        <v>2.5066973619856529E-4</v>
      </c>
      <c r="M94" s="27" t="s">
        <v>9</v>
      </c>
      <c r="N94" s="3">
        <v>0.63403971694599992</v>
      </c>
      <c r="O94" s="20">
        <v>2.8679319513491829E-4</v>
      </c>
      <c r="P94" s="20">
        <f t="shared" si="14"/>
        <v>6.0696537534025213E-3</v>
      </c>
      <c r="Q94" s="22">
        <f t="shared" si="16"/>
        <v>1.1852514311670125E-2</v>
      </c>
      <c r="R94" s="24">
        <f>1/150</f>
        <v>6.6666666666666671E-3</v>
      </c>
      <c r="S94">
        <f>Q94*R94/2</f>
        <v>3.9508381038900419E-5</v>
      </c>
      <c r="V94" t="s">
        <v>129</v>
      </c>
      <c r="W94" s="3">
        <v>0.52377316808753993</v>
      </c>
      <c r="X94" s="20">
        <f>W94/W$152</f>
        <v>2.5785216169413072E-4</v>
      </c>
      <c r="Y94" s="20">
        <f t="shared" si="18"/>
        <v>3.8798656052808265E-3</v>
      </c>
      <c r="Z94" s="22">
        <f t="shared" si="19"/>
        <v>7.5018790488675224E-3</v>
      </c>
      <c r="AA94" s="24">
        <f t="shared" si="10"/>
        <v>6.6666666666666671E-3</v>
      </c>
      <c r="AB94" s="10">
        <f>Z94*AA94/2</f>
        <v>2.5006263496225077E-5</v>
      </c>
      <c r="AD94" t="s">
        <v>8</v>
      </c>
      <c r="AE94" s="3">
        <v>0.11030758050202756</v>
      </c>
      <c r="AF94" s="20">
        <f>AE94/AE$152</f>
        <v>6.1453329150124437E-4</v>
      </c>
      <c r="AG94" s="20">
        <f t="shared" si="17"/>
        <v>1.50557817298575E-2</v>
      </c>
      <c r="AH94" s="22">
        <f t="shared" si="15"/>
        <v>2.9497030168213756E-2</v>
      </c>
      <c r="AI94" s="24">
        <f t="shared" si="11"/>
        <v>6.6666666666666671E-3</v>
      </c>
      <c r="AJ94">
        <f>AH94*AI94/2</f>
        <v>9.8323433894045856E-5</v>
      </c>
    </row>
    <row r="95" spans="1:36" x14ac:dyDescent="0.3">
      <c r="A95" t="s">
        <v>102</v>
      </c>
      <c r="B95" s="21">
        <v>135975581947.96526</v>
      </c>
      <c r="C95" s="22">
        <v>1.4330951382214015E-3</v>
      </c>
      <c r="D95" s="22">
        <f t="shared" si="12"/>
        <v>3.964951257608583E-2</v>
      </c>
      <c r="E95" s="22">
        <f t="shared" si="13"/>
        <v>7.7865930013950257E-2</v>
      </c>
      <c r="F95" s="24">
        <f>1/150</f>
        <v>6.6666666666666671E-3</v>
      </c>
      <c r="G95">
        <f>E95*F95/2</f>
        <v>2.5955310004650086E-4</v>
      </c>
      <c r="M95" s="27" t="s">
        <v>95</v>
      </c>
      <c r="N95" s="3">
        <v>0.67959478241073412</v>
      </c>
      <c r="O95" s="20">
        <v>3.073989749149951E-4</v>
      </c>
      <c r="P95" s="20">
        <f t="shared" si="14"/>
        <v>6.3770527283175168E-3</v>
      </c>
      <c r="Q95" s="22">
        <f t="shared" si="16"/>
        <v>1.2446706481720037E-2</v>
      </c>
      <c r="R95" s="24">
        <f>1/150</f>
        <v>6.6666666666666671E-3</v>
      </c>
      <c r="S95">
        <f>Q95*R95/2</f>
        <v>4.148902160573346E-5</v>
      </c>
      <c r="V95" t="s">
        <v>33</v>
      </c>
      <c r="W95" s="3">
        <v>0.53438397782119995</v>
      </c>
      <c r="X95" s="20">
        <f>W95/W$152</f>
        <v>2.6307583559315731E-4</v>
      </c>
      <c r="Y95" s="20">
        <f t="shared" si="18"/>
        <v>4.1429414408739838E-3</v>
      </c>
      <c r="Z95" s="22">
        <f t="shared" si="19"/>
        <v>8.0228070461548107E-3</v>
      </c>
      <c r="AA95" s="24">
        <f t="shared" si="10"/>
        <v>6.6666666666666671E-3</v>
      </c>
      <c r="AB95" s="10">
        <f>Z95*AA95/2</f>
        <v>2.6742690153849372E-5</v>
      </c>
      <c r="AD95" t="s">
        <v>48</v>
      </c>
      <c r="AE95" s="3">
        <v>0.116875486804464</v>
      </c>
      <c r="AF95" s="20">
        <f>AE95/AE$152</f>
        <v>6.5112367867081733E-4</v>
      </c>
      <c r="AG95" s="20">
        <f t="shared" si="17"/>
        <v>1.5706905408528316E-2</v>
      </c>
      <c r="AH95" s="22">
        <f t="shared" si="15"/>
        <v>3.0762687138385814E-2</v>
      </c>
      <c r="AI95" s="24">
        <f t="shared" si="11"/>
        <v>6.6666666666666671E-3</v>
      </c>
      <c r="AJ95">
        <f>AH95*AI95/2</f>
        <v>1.0254229046128605E-4</v>
      </c>
    </row>
    <row r="96" spans="1:36" x14ac:dyDescent="0.3">
      <c r="A96" t="s">
        <v>113</v>
      </c>
      <c r="B96" s="21">
        <v>141462755525.29086</v>
      </c>
      <c r="C96" s="22">
        <v>1.490926416922981E-3</v>
      </c>
      <c r="D96" s="22">
        <f t="shared" si="12"/>
        <v>4.1140438993008809E-2</v>
      </c>
      <c r="E96" s="22">
        <f t="shared" si="13"/>
        <v>8.0789951569094631E-2</v>
      </c>
      <c r="F96" s="24">
        <f>1/150</f>
        <v>6.6666666666666671E-3</v>
      </c>
      <c r="G96">
        <f>E96*F96/2</f>
        <v>2.6929983856364877E-4</v>
      </c>
      <c r="M96" s="27" t="s">
        <v>89</v>
      </c>
      <c r="N96" s="3">
        <v>0.85864433735801349</v>
      </c>
      <c r="O96" s="20">
        <v>3.8838789812970398E-4</v>
      </c>
      <c r="P96" s="20">
        <f t="shared" si="14"/>
        <v>6.7654406264472207E-3</v>
      </c>
      <c r="Q96" s="22">
        <f t="shared" si="16"/>
        <v>1.3142493354764737E-2</v>
      </c>
      <c r="R96" s="24">
        <f>1/150</f>
        <v>6.6666666666666671E-3</v>
      </c>
      <c r="S96">
        <f>Q96*R96/2</f>
        <v>4.3808311182549128E-5</v>
      </c>
      <c r="V96" t="s">
        <v>45</v>
      </c>
      <c r="W96" s="3">
        <v>0.56076247444000005</v>
      </c>
      <c r="X96" s="20">
        <f>W96/W$152</f>
        <v>2.7606190053465528E-4</v>
      </c>
      <c r="Y96" s="20">
        <f t="shared" si="18"/>
        <v>4.4190033414086387E-3</v>
      </c>
      <c r="Z96" s="22">
        <f t="shared" si="19"/>
        <v>8.5619447822826225E-3</v>
      </c>
      <c r="AA96" s="24">
        <f t="shared" si="10"/>
        <v>6.6666666666666671E-3</v>
      </c>
      <c r="AB96" s="10">
        <f>Z96*AA96/2</f>
        <v>2.8539815940942076E-5</v>
      </c>
      <c r="AD96" t="s">
        <v>54</v>
      </c>
      <c r="AE96" s="3">
        <v>0.11970038165661401</v>
      </c>
      <c r="AF96" s="20">
        <f>AE96/AE$152</f>
        <v>6.6686141785189527E-4</v>
      </c>
      <c r="AG96" s="20">
        <f t="shared" si="17"/>
        <v>1.6373766826380212E-2</v>
      </c>
      <c r="AH96" s="22">
        <f t="shared" si="15"/>
        <v>3.2080672234908528E-2</v>
      </c>
      <c r="AI96" s="24">
        <f t="shared" si="11"/>
        <v>6.6666666666666671E-3</v>
      </c>
      <c r="AJ96">
        <f>AH96*AI96/2</f>
        <v>1.0693557411636177E-4</v>
      </c>
    </row>
    <row r="97" spans="1:36" x14ac:dyDescent="0.3">
      <c r="A97" t="s">
        <v>47</v>
      </c>
      <c r="B97" s="21">
        <v>157952280644.58694</v>
      </c>
      <c r="C97" s="22">
        <v>1.6647154012502255E-3</v>
      </c>
      <c r="D97" s="22">
        <f t="shared" si="12"/>
        <v>4.2805154394259033E-2</v>
      </c>
      <c r="E97" s="22">
        <f t="shared" si="13"/>
        <v>8.3945593387267842E-2</v>
      </c>
      <c r="F97" s="24">
        <f>1/150</f>
        <v>6.6666666666666671E-3</v>
      </c>
      <c r="G97">
        <f>E97*F97/2</f>
        <v>2.7981864462422616E-4</v>
      </c>
      <c r="M97" s="27" t="s">
        <v>81</v>
      </c>
      <c r="N97" s="3">
        <v>0.89692546691681196</v>
      </c>
      <c r="O97" s="20">
        <v>4.0570348131181662E-4</v>
      </c>
      <c r="P97" s="20">
        <f t="shared" si="14"/>
        <v>7.1711441077590369E-3</v>
      </c>
      <c r="Q97" s="22">
        <f t="shared" si="16"/>
        <v>1.3936584734206257E-2</v>
      </c>
      <c r="R97" s="24">
        <f>1/150</f>
        <v>6.6666666666666671E-3</v>
      </c>
      <c r="S97">
        <f>Q97*R97/2</f>
        <v>4.6455282447354189E-5</v>
      </c>
      <c r="V97" t="s">
        <v>95</v>
      </c>
      <c r="W97" s="3">
        <v>0.60687832711640011</v>
      </c>
      <c r="X97" s="20">
        <f>W97/W$152</f>
        <v>2.9876461427693393E-4</v>
      </c>
      <c r="Y97" s="20">
        <f t="shared" si="18"/>
        <v>4.7177679556855727E-3</v>
      </c>
      <c r="Z97" s="22">
        <f t="shared" si="19"/>
        <v>9.1367712970942122E-3</v>
      </c>
      <c r="AA97" s="24">
        <f t="shared" si="10"/>
        <v>6.6666666666666671E-3</v>
      </c>
      <c r="AB97" s="10">
        <f>Z97*AA97/2</f>
        <v>3.0455904323647374E-5</v>
      </c>
      <c r="AD97" t="s">
        <v>41</v>
      </c>
      <c r="AE97" s="3">
        <v>0.12404806508325363</v>
      </c>
      <c r="AF97" s="20">
        <f>AE97/AE$152</f>
        <v>6.910827469248246E-4</v>
      </c>
      <c r="AG97" s="20">
        <f t="shared" si="17"/>
        <v>1.7064849573305035E-2</v>
      </c>
      <c r="AH97" s="22">
        <f t="shared" si="15"/>
        <v>3.3438616399685248E-2</v>
      </c>
      <c r="AI97" s="24">
        <f t="shared" si="11"/>
        <v>6.6666666666666671E-3</v>
      </c>
      <c r="AJ97">
        <f>AH97*AI97/2</f>
        <v>1.114620546656175E-4</v>
      </c>
    </row>
    <row r="98" spans="1:36" x14ac:dyDescent="0.3">
      <c r="A98" t="s">
        <v>11</v>
      </c>
      <c r="B98" s="21">
        <v>177634714249.32825</v>
      </c>
      <c r="C98" s="22">
        <v>1.8721555864896196E-3</v>
      </c>
      <c r="D98" s="22">
        <f t="shared" si="12"/>
        <v>4.4677309980748654E-2</v>
      </c>
      <c r="E98" s="22">
        <f t="shared" si="13"/>
        <v>8.7482464375007687E-2</v>
      </c>
      <c r="F98" s="24">
        <f>1/150</f>
        <v>6.6666666666666671E-3</v>
      </c>
      <c r="G98">
        <f>E98*F98/2</f>
        <v>2.9160821458335895E-4</v>
      </c>
      <c r="M98" s="27" t="s">
        <v>66</v>
      </c>
      <c r="N98" s="3">
        <v>0.90403415960996503</v>
      </c>
      <c r="O98" s="20">
        <v>4.0891893396598406E-4</v>
      </c>
      <c r="P98" s="20">
        <f t="shared" si="14"/>
        <v>7.5800630417250207E-3</v>
      </c>
      <c r="Q98" s="22">
        <f t="shared" si="16"/>
        <v>1.4751207149484058E-2</v>
      </c>
      <c r="R98" s="24">
        <f>1/150</f>
        <v>6.6666666666666671E-3</v>
      </c>
      <c r="S98">
        <f>Q98*R98/2</f>
        <v>4.9170690498280195E-5</v>
      </c>
      <c r="V98" t="s">
        <v>66</v>
      </c>
      <c r="W98" s="3">
        <v>0.622976971193</v>
      </c>
      <c r="X98" s="20">
        <f>W98/W$152</f>
        <v>3.0668993467975744E-4</v>
      </c>
      <c r="Y98" s="20">
        <f t="shared" si="18"/>
        <v>5.0244578903653305E-3</v>
      </c>
      <c r="Z98" s="22">
        <f t="shared" si="19"/>
        <v>9.7422258460509031E-3</v>
      </c>
      <c r="AA98" s="24">
        <f t="shared" si="10"/>
        <v>6.6666666666666671E-3</v>
      </c>
      <c r="AB98" s="10">
        <f>Z98*AA98/2</f>
        <v>3.2474086153503014E-5</v>
      </c>
      <c r="AD98" t="s">
        <v>110</v>
      </c>
      <c r="AE98" s="3">
        <v>0.126982217452944</v>
      </c>
      <c r="AF98" s="20">
        <f>AE98/AE$152</f>
        <v>7.0742916940372995E-4</v>
      </c>
      <c r="AG98" s="20">
        <f t="shared" si="17"/>
        <v>1.7772278742708765E-2</v>
      </c>
      <c r="AH98" s="22">
        <f t="shared" si="15"/>
        <v>3.48371283160138E-2</v>
      </c>
      <c r="AI98" s="24">
        <f t="shared" si="11"/>
        <v>6.6666666666666671E-3</v>
      </c>
      <c r="AJ98">
        <f>AH98*AI98/2</f>
        <v>1.1612376105337935E-4</v>
      </c>
    </row>
    <row r="99" spans="1:36" x14ac:dyDescent="0.3">
      <c r="A99" t="s">
        <v>88</v>
      </c>
      <c r="B99" s="21">
        <v>192469260104.18936</v>
      </c>
      <c r="C99" s="22">
        <v>2.0285021542907366E-3</v>
      </c>
      <c r="D99" s="22">
        <f t="shared" si="12"/>
        <v>4.6705812135039389E-2</v>
      </c>
      <c r="E99" s="22">
        <f t="shared" si="13"/>
        <v>9.1383122115788043E-2</v>
      </c>
      <c r="F99" s="24">
        <f>1/150</f>
        <v>6.6666666666666671E-3</v>
      </c>
      <c r="G99">
        <f>E99*F99/2</f>
        <v>3.0461040705262682E-4</v>
      </c>
      <c r="M99" s="27" t="s">
        <v>7</v>
      </c>
      <c r="N99" s="3">
        <v>0.98589664851949887</v>
      </c>
      <c r="O99" s="20">
        <v>4.4594753663640884E-4</v>
      </c>
      <c r="P99" s="20">
        <f t="shared" si="14"/>
        <v>8.02601057836143E-3</v>
      </c>
      <c r="Q99" s="22">
        <f t="shared" si="16"/>
        <v>1.5606073620086451E-2</v>
      </c>
      <c r="R99" s="24">
        <f>1/150</f>
        <v>6.6666666666666671E-3</v>
      </c>
      <c r="S99">
        <f>Q99*R99/2</f>
        <v>5.2020245400288171E-5</v>
      </c>
      <c r="V99" t="s">
        <v>89</v>
      </c>
      <c r="W99" s="3">
        <v>0.84804094965999988</v>
      </c>
      <c r="X99" s="20">
        <f>W99/W$152</f>
        <v>4.1748834304247435E-4</v>
      </c>
      <c r="Y99" s="20">
        <f t="shared" si="18"/>
        <v>5.4419462334078048E-3</v>
      </c>
      <c r="Z99" s="22">
        <f t="shared" si="19"/>
        <v>1.0466404123773136E-2</v>
      </c>
      <c r="AA99" s="24">
        <f t="shared" si="10"/>
        <v>6.6666666666666671E-3</v>
      </c>
      <c r="AB99" s="10">
        <f>Z99*AA99/2</f>
        <v>3.4888013745910459E-5</v>
      </c>
      <c r="AD99" t="s">
        <v>43</v>
      </c>
      <c r="AE99" s="3">
        <v>0.12932268372989236</v>
      </c>
      <c r="AF99" s="20">
        <f>AE99/AE$152</f>
        <v>7.2046811412788069E-4</v>
      </c>
      <c r="AG99" s="20">
        <f t="shared" si="17"/>
        <v>1.8492746856836644E-2</v>
      </c>
      <c r="AH99" s="22">
        <f t="shared" si="15"/>
        <v>3.6265025599545406E-2</v>
      </c>
      <c r="AI99" s="24">
        <f t="shared" si="11"/>
        <v>6.6666666666666671E-3</v>
      </c>
      <c r="AJ99">
        <f>AH99*AI99/2</f>
        <v>1.2088341866515136E-4</v>
      </c>
    </row>
    <row r="100" spans="1:36" x14ac:dyDescent="0.3">
      <c r="A100" t="s">
        <v>39</v>
      </c>
      <c r="B100" s="21">
        <v>222958017484.65396</v>
      </c>
      <c r="C100" s="22">
        <v>2.3498340386365313E-3</v>
      </c>
      <c r="D100" s="22">
        <f t="shared" si="12"/>
        <v>4.9055646173675922E-2</v>
      </c>
      <c r="E100" s="22">
        <f t="shared" si="13"/>
        <v>9.5761458308715311E-2</v>
      </c>
      <c r="F100" s="24">
        <f>1/150</f>
        <v>6.6666666666666671E-3</v>
      </c>
      <c r="G100">
        <f>E100*F100/2</f>
        <v>3.1920486102905108E-4</v>
      </c>
      <c r="M100" s="27" t="s">
        <v>52</v>
      </c>
      <c r="N100" s="3">
        <v>1.083098316954876</v>
      </c>
      <c r="O100" s="20">
        <v>4.8991446223738187E-4</v>
      </c>
      <c r="P100" s="20">
        <f t="shared" si="14"/>
        <v>8.5159250405988113E-3</v>
      </c>
      <c r="Q100" s="22">
        <f t="shared" si="16"/>
        <v>1.6541935618960241E-2</v>
      </c>
      <c r="R100" s="24">
        <f>1/150</f>
        <v>6.6666666666666671E-3</v>
      </c>
      <c r="S100">
        <f>Q100*R100/2</f>
        <v>5.513978539653414E-5</v>
      </c>
      <c r="V100" t="s">
        <v>81</v>
      </c>
      <c r="W100" s="3">
        <v>0.8895618692924</v>
      </c>
      <c r="X100" s="20">
        <f>W100/W$152</f>
        <v>4.3792898325670021E-4</v>
      </c>
      <c r="Y100" s="20">
        <f t="shared" si="18"/>
        <v>5.8798752166645055E-3</v>
      </c>
      <c r="Z100" s="22">
        <f t="shared" si="19"/>
        <v>1.132182145007231E-2</v>
      </c>
      <c r="AA100" s="24">
        <f t="shared" si="10"/>
        <v>6.6666666666666671E-3</v>
      </c>
      <c r="AB100" s="10">
        <f>Z100*AA100/2</f>
        <v>3.773940483357437E-5</v>
      </c>
      <c r="AD100" t="s">
        <v>28</v>
      </c>
      <c r="AE100" s="3">
        <v>0.14247899038048001</v>
      </c>
      <c r="AF100" s="20">
        <f>AE100/AE$152</f>
        <v>7.9376306260911154E-4</v>
      </c>
      <c r="AG100" s="20">
        <f t="shared" si="17"/>
        <v>1.9286509919445756E-2</v>
      </c>
      <c r="AH100" s="22">
        <f t="shared" si="15"/>
        <v>3.7779256776282397E-2</v>
      </c>
      <c r="AI100" s="24">
        <f t="shared" si="11"/>
        <v>6.6666666666666671E-3</v>
      </c>
      <c r="AJ100">
        <f>AH100*AI100/2</f>
        <v>1.2593085592094134E-4</v>
      </c>
    </row>
    <row r="101" spans="1:36" x14ac:dyDescent="0.3">
      <c r="A101" t="s">
        <v>92</v>
      </c>
      <c r="B101" s="21">
        <v>223104305329.36099</v>
      </c>
      <c r="C101" s="22">
        <v>2.3513758183886543E-3</v>
      </c>
      <c r="D101" s="22">
        <f t="shared" si="12"/>
        <v>5.1407021992064574E-2</v>
      </c>
      <c r="E101" s="22">
        <f t="shared" si="13"/>
        <v>0.1004626681657405</v>
      </c>
      <c r="F101" s="24">
        <f>1/150</f>
        <v>6.6666666666666671E-3</v>
      </c>
      <c r="G101">
        <f>E101*F101/2</f>
        <v>3.3487556055246832E-4</v>
      </c>
      <c r="M101" s="27" t="s">
        <v>73</v>
      </c>
      <c r="N101" s="3">
        <v>1.1347204827710209</v>
      </c>
      <c r="O101" s="20">
        <v>5.1326455447688372E-4</v>
      </c>
      <c r="P101" s="20">
        <f t="shared" si="14"/>
        <v>9.0291895950756953E-3</v>
      </c>
      <c r="Q101" s="22">
        <f t="shared" si="16"/>
        <v>1.7545114635674507E-2</v>
      </c>
      <c r="R101" s="24">
        <f>1/150</f>
        <v>6.6666666666666671E-3</v>
      </c>
      <c r="S101">
        <f>Q101*R101/2</f>
        <v>5.8483715452248358E-5</v>
      </c>
      <c r="V101" t="s">
        <v>52</v>
      </c>
      <c r="W101" s="3">
        <v>1.01615406981</v>
      </c>
      <c r="X101" s="20">
        <f>W101/W$152</f>
        <v>5.0024999270486734E-4</v>
      </c>
      <c r="Y101" s="20">
        <f t="shared" si="18"/>
        <v>6.3801252093693729E-3</v>
      </c>
      <c r="Z101" s="22">
        <f t="shared" si="19"/>
        <v>1.2260000426033878E-2</v>
      </c>
      <c r="AA101" s="24">
        <f t="shared" si="10"/>
        <v>6.6666666666666671E-3</v>
      </c>
      <c r="AB101" s="10">
        <f>Z101*AA101/2</f>
        <v>4.0866668086779595E-5</v>
      </c>
      <c r="AD101" t="s">
        <v>80</v>
      </c>
      <c r="AE101" s="3">
        <v>0.16582408904355894</v>
      </c>
      <c r="AF101" s="20">
        <f>AE101/AE$152</f>
        <v>9.2382067294333051E-4</v>
      </c>
      <c r="AG101" s="20">
        <f t="shared" si="17"/>
        <v>2.0210330592389088E-2</v>
      </c>
      <c r="AH101" s="22">
        <f t="shared" si="15"/>
        <v>3.9496840511834844E-2</v>
      </c>
      <c r="AI101" s="24">
        <f t="shared" si="11"/>
        <v>6.6666666666666671E-3</v>
      </c>
      <c r="AJ101">
        <f>AH101*AI101/2</f>
        <v>1.316561350394495E-4</v>
      </c>
    </row>
    <row r="102" spans="1:36" x14ac:dyDescent="0.3">
      <c r="A102" t="s">
        <v>44</v>
      </c>
      <c r="B102" s="21">
        <v>223655084018.92416</v>
      </c>
      <c r="C102" s="22">
        <v>2.3571806713699123E-3</v>
      </c>
      <c r="D102" s="22">
        <f t="shared" si="12"/>
        <v>5.3764202663434485E-2</v>
      </c>
      <c r="E102" s="22">
        <f t="shared" si="13"/>
        <v>0.10517122465549905</v>
      </c>
      <c r="F102" s="24">
        <f>1/150</f>
        <v>6.6666666666666671E-3</v>
      </c>
      <c r="G102">
        <f>E102*F102/2</f>
        <v>3.5057074885166354E-4</v>
      </c>
      <c r="M102" s="27" t="s">
        <v>17</v>
      </c>
      <c r="N102" s="3">
        <v>1.2764818904722603</v>
      </c>
      <c r="O102" s="20">
        <v>5.7738704708238222E-4</v>
      </c>
      <c r="P102" s="20">
        <f t="shared" si="14"/>
        <v>9.6065766421580771E-3</v>
      </c>
      <c r="Q102" s="22">
        <f t="shared" si="16"/>
        <v>1.8635766237233772E-2</v>
      </c>
      <c r="R102" s="24">
        <f>1/150</f>
        <v>6.6666666666666671E-3</v>
      </c>
      <c r="S102">
        <f>Q102*R102/2</f>
        <v>6.2119220790779247E-5</v>
      </c>
      <c r="V102" t="s">
        <v>73</v>
      </c>
      <c r="W102" s="3">
        <v>1.1126468014437998</v>
      </c>
      <c r="X102" s="20">
        <f>W102/W$152</f>
        <v>5.4775311229076501E-4</v>
      </c>
      <c r="Y102" s="20">
        <f t="shared" si="18"/>
        <v>6.9278783216601379E-3</v>
      </c>
      <c r="Z102" s="22">
        <f t="shared" si="19"/>
        <v>1.3308003531029511E-2</v>
      </c>
      <c r="AA102" s="24">
        <f t="shared" si="10"/>
        <v>6.6666666666666671E-3</v>
      </c>
      <c r="AB102" s="10">
        <f>Z102*AA102/2</f>
        <v>4.4360011770098373E-5</v>
      </c>
      <c r="AD102" t="s">
        <v>94</v>
      </c>
      <c r="AE102" s="3">
        <v>0.1700757641108594</v>
      </c>
      <c r="AF102" s="20">
        <f>AE102/AE$152</f>
        <v>9.4750713095111811E-4</v>
      </c>
      <c r="AG102" s="20">
        <f t="shared" si="17"/>
        <v>2.1157837723340206E-2</v>
      </c>
      <c r="AH102" s="22">
        <f t="shared" si="15"/>
        <v>4.1368168315729294E-2</v>
      </c>
      <c r="AI102" s="24">
        <f t="shared" si="11"/>
        <v>6.6666666666666671E-3</v>
      </c>
      <c r="AJ102">
        <f>AH102*AI102/2</f>
        <v>1.3789389438576433E-4</v>
      </c>
    </row>
    <row r="103" spans="1:36" x14ac:dyDescent="0.3">
      <c r="A103" t="s">
        <v>26</v>
      </c>
      <c r="B103" s="21">
        <v>224233557754.35229</v>
      </c>
      <c r="C103" s="22">
        <v>2.3632774123137977E-3</v>
      </c>
      <c r="D103" s="22">
        <f t="shared" si="12"/>
        <v>5.6127480075748283E-2</v>
      </c>
      <c r="E103" s="22">
        <f t="shared" si="13"/>
        <v>0.10989168273918276</v>
      </c>
      <c r="F103" s="24">
        <f>1/150</f>
        <v>6.6666666666666671E-3</v>
      </c>
      <c r="G103">
        <f>E103*F103/2</f>
        <v>3.6630560913060922E-4</v>
      </c>
      <c r="M103" s="27" t="s">
        <v>92</v>
      </c>
      <c r="N103" s="3">
        <v>1.6474509722520341</v>
      </c>
      <c r="O103" s="20">
        <v>7.4518632750025121E-4</v>
      </c>
      <c r="P103" s="20">
        <f t="shared" si="14"/>
        <v>1.0351762969658328E-2</v>
      </c>
      <c r="Q103" s="22">
        <f t="shared" si="16"/>
        <v>1.9958339611816405E-2</v>
      </c>
      <c r="R103" s="24">
        <f>1/150</f>
        <v>6.6666666666666671E-3</v>
      </c>
      <c r="S103">
        <f>Q103*R103/2</f>
        <v>6.6527798706054686E-5</v>
      </c>
      <c r="V103" t="s">
        <v>92</v>
      </c>
      <c r="W103" s="3">
        <v>1.4731524079779996</v>
      </c>
      <c r="X103" s="20">
        <f>W103/W$152</f>
        <v>7.252290801550848E-4</v>
      </c>
      <c r="Y103" s="20">
        <f t="shared" si="18"/>
        <v>7.6531074018152227E-3</v>
      </c>
      <c r="Z103" s="22">
        <f t="shared" si="19"/>
        <v>1.4580985723475361E-2</v>
      </c>
      <c r="AA103" s="24">
        <f t="shared" si="10"/>
        <v>6.6666666666666671E-3</v>
      </c>
      <c r="AB103" s="10">
        <f>Z103*AA103/2</f>
        <v>4.8603285744917869E-5</v>
      </c>
      <c r="AD103" t="s">
        <v>92</v>
      </c>
      <c r="AE103" s="3">
        <v>0.1742985642740344</v>
      </c>
      <c r="AF103" s="20">
        <f>AE103/AE$152</f>
        <v>9.7103272431303786E-4</v>
      </c>
      <c r="AG103" s="20">
        <f t="shared" si="17"/>
        <v>2.2128870447653243E-2</v>
      </c>
      <c r="AH103" s="22">
        <f t="shared" si="15"/>
        <v>4.3286708170993449E-2</v>
      </c>
      <c r="AI103" s="24">
        <f t="shared" si="11"/>
        <v>6.6666666666666671E-3</v>
      </c>
      <c r="AJ103">
        <f>AH103*AI103/2</f>
        <v>1.4428902723664485E-4</v>
      </c>
    </row>
    <row r="104" spans="1:36" x14ac:dyDescent="0.3">
      <c r="A104" t="s">
        <v>74</v>
      </c>
      <c r="B104" s="21">
        <v>229642617310.30029</v>
      </c>
      <c r="C104" s="22">
        <v>2.4202854194936862E-3</v>
      </c>
      <c r="D104" s="22">
        <f t="shared" si="12"/>
        <v>5.8547765495241967E-2</v>
      </c>
      <c r="E104" s="22">
        <f t="shared" si="13"/>
        <v>0.11467524557099025</v>
      </c>
      <c r="F104" s="24">
        <f>1/150</f>
        <v>6.6666666666666671E-3</v>
      </c>
      <c r="G104">
        <f>E104*F104/2</f>
        <v>3.822508185699675E-4</v>
      </c>
      <c r="M104" s="27" t="s">
        <v>93</v>
      </c>
      <c r="N104" s="3">
        <v>1.6902143367492599</v>
      </c>
      <c r="O104" s="20">
        <v>7.6452934594387826E-4</v>
      </c>
      <c r="P104" s="20">
        <f t="shared" si="14"/>
        <v>1.1116292315602206E-2</v>
      </c>
      <c r="Q104" s="22">
        <f t="shared" si="16"/>
        <v>2.1468055285260534E-2</v>
      </c>
      <c r="R104" s="24">
        <f>1/150</f>
        <v>6.6666666666666671E-3</v>
      </c>
      <c r="S104">
        <f>Q104*R104/2</f>
        <v>7.1560184284201789E-5</v>
      </c>
      <c r="V104" t="s">
        <v>93</v>
      </c>
      <c r="W104" s="3">
        <v>1.6299166628519999</v>
      </c>
      <c r="X104" s="20">
        <f>W104/W$152</f>
        <v>8.024037131039699E-4</v>
      </c>
      <c r="Y104" s="20">
        <f t="shared" si="18"/>
        <v>8.4555111149191928E-3</v>
      </c>
      <c r="Z104" s="22">
        <f t="shared" si="19"/>
        <v>1.6108618516734417E-2</v>
      </c>
      <c r="AA104" s="24">
        <f t="shared" si="10"/>
        <v>6.6666666666666671E-3</v>
      </c>
      <c r="AB104" s="10">
        <f>Z104*AA104/2</f>
        <v>5.3695395055781396E-5</v>
      </c>
      <c r="AD104" t="s">
        <v>31</v>
      </c>
      <c r="AE104" s="3">
        <v>0.17497921371897196</v>
      </c>
      <c r="AF104" s="20">
        <f>AE104/AE$152</f>
        <v>9.7482468259779318E-4</v>
      </c>
      <c r="AG104" s="20">
        <f t="shared" si="17"/>
        <v>2.3103695130251036E-2</v>
      </c>
      <c r="AH104" s="22">
        <f t="shared" si="15"/>
        <v>4.5232565577904282E-2</v>
      </c>
      <c r="AI104" s="24">
        <f t="shared" si="11"/>
        <v>6.6666666666666671E-3</v>
      </c>
      <c r="AJ104">
        <f>AH104*AI104/2</f>
        <v>1.5077521859301429E-4</v>
      </c>
    </row>
    <row r="105" spans="1:36" x14ac:dyDescent="0.3">
      <c r="A105" t="s">
        <v>53</v>
      </c>
      <c r="B105" s="21">
        <v>237383786157.71899</v>
      </c>
      <c r="C105" s="22">
        <v>2.5018723579752736E-3</v>
      </c>
      <c r="D105" s="22">
        <f t="shared" si="12"/>
        <v>6.1049637853217244E-2</v>
      </c>
      <c r="E105" s="22">
        <f t="shared" si="13"/>
        <v>0.11959740334845921</v>
      </c>
      <c r="F105" s="24">
        <f>1/150</f>
        <v>6.6666666666666671E-3</v>
      </c>
      <c r="G105">
        <f>E105*F105/2</f>
        <v>3.9865801116153072E-4</v>
      </c>
      <c r="M105" s="27" t="s">
        <v>43</v>
      </c>
      <c r="N105" s="3">
        <v>2.3413819676530911</v>
      </c>
      <c r="O105" s="20">
        <v>1.0590699566407475E-3</v>
      </c>
      <c r="P105" s="20">
        <f t="shared" si="14"/>
        <v>1.2175362272242952E-2</v>
      </c>
      <c r="Q105" s="22">
        <f t="shared" si="16"/>
        <v>2.3291654587845156E-2</v>
      </c>
      <c r="R105" s="24">
        <f>1/150</f>
        <v>6.6666666666666671E-3</v>
      </c>
      <c r="S105">
        <f>Q105*R105/2</f>
        <v>7.763884862615053E-5</v>
      </c>
      <c r="V105" t="s">
        <v>133</v>
      </c>
      <c r="W105" s="3">
        <v>1.9182535836374</v>
      </c>
      <c r="X105" s="20">
        <f>W105/W$152</f>
        <v>9.4435122559723811E-4</v>
      </c>
      <c r="Y105" s="20">
        <f t="shared" si="18"/>
        <v>9.3998623405164312E-3</v>
      </c>
      <c r="Z105" s="22">
        <f t="shared" si="19"/>
        <v>1.7855373455435624E-2</v>
      </c>
      <c r="AA105" s="24">
        <f t="shared" si="10"/>
        <v>6.6666666666666671E-3</v>
      </c>
      <c r="AB105" s="10">
        <f>Z105*AA105/2</f>
        <v>5.9517911518118749E-5</v>
      </c>
      <c r="AD105" t="s">
        <v>38</v>
      </c>
      <c r="AE105" s="3">
        <v>0.17558031935045201</v>
      </c>
      <c r="AF105" s="20">
        <f>AE105/AE$152</f>
        <v>9.7817349525937251E-4</v>
      </c>
      <c r="AG105" s="20">
        <f t="shared" si="17"/>
        <v>2.408186862551041E-2</v>
      </c>
      <c r="AH105" s="22">
        <f t="shared" si="15"/>
        <v>4.7185563755761446E-2</v>
      </c>
      <c r="AI105" s="24">
        <f t="shared" si="11"/>
        <v>6.6666666666666671E-3</v>
      </c>
      <c r="AJ105">
        <f>AH105*AI105/2</f>
        <v>1.5728521251920483E-4</v>
      </c>
    </row>
    <row r="106" spans="1:36" x14ac:dyDescent="0.3">
      <c r="A106" t="s">
        <v>42</v>
      </c>
      <c r="B106" s="21">
        <v>242206495918.36029</v>
      </c>
      <c r="C106" s="22">
        <v>2.5527006156081241E-3</v>
      </c>
      <c r="D106" s="22">
        <f t="shared" si="12"/>
        <v>6.3602338468825362E-2</v>
      </c>
      <c r="E106" s="22">
        <f t="shared" si="13"/>
        <v>0.12465197632204261</v>
      </c>
      <c r="F106" s="24">
        <f>1/150</f>
        <v>6.6666666666666671E-3</v>
      </c>
      <c r="G106">
        <f>E106*F106/2</f>
        <v>4.1550658774014209E-4</v>
      </c>
      <c r="M106" s="27" t="s">
        <v>49</v>
      </c>
      <c r="N106" s="3">
        <v>2.7342318723725216</v>
      </c>
      <c r="O106" s="20">
        <v>1.2367665210225799E-3</v>
      </c>
      <c r="P106" s="20">
        <f t="shared" si="14"/>
        <v>1.3412128793265532E-2</v>
      </c>
      <c r="Q106" s="22">
        <f t="shared" si="16"/>
        <v>2.5587491065508484E-2</v>
      </c>
      <c r="R106" s="24">
        <f>1/150</f>
        <v>6.6666666666666671E-3</v>
      </c>
      <c r="S106">
        <f>Q106*R106/2</f>
        <v>8.5291636885028284E-5</v>
      </c>
      <c r="V106" t="s">
        <v>18</v>
      </c>
      <c r="W106" s="3">
        <v>2.0737688584945793</v>
      </c>
      <c r="X106" s="20">
        <f>W106/W$152</f>
        <v>1.0209109889482285E-3</v>
      </c>
      <c r="Y106" s="20">
        <f t="shared" si="18"/>
        <v>1.042077332946466E-2</v>
      </c>
      <c r="Z106" s="22">
        <f t="shared" si="19"/>
        <v>1.9820635669981091E-2</v>
      </c>
      <c r="AA106" s="24">
        <f t="shared" si="10"/>
        <v>6.6666666666666671E-3</v>
      </c>
      <c r="AB106" s="10">
        <f>Z106*AA106/2</f>
        <v>6.6068785566603648E-5</v>
      </c>
      <c r="AD106" t="s">
        <v>122</v>
      </c>
      <c r="AE106" s="3">
        <v>0.1837804041797918</v>
      </c>
      <c r="AF106" s="20">
        <f>AE106/AE$152</f>
        <v>1.0238568934250224E-3</v>
      </c>
      <c r="AG106" s="20">
        <f t="shared" si="17"/>
        <v>2.5105725518935432E-2</v>
      </c>
      <c r="AH106" s="22">
        <f t="shared" si="15"/>
        <v>4.9187594144445845E-2</v>
      </c>
      <c r="AI106" s="24">
        <f t="shared" si="11"/>
        <v>6.6666666666666671E-3</v>
      </c>
      <c r="AJ106">
        <f>AH106*AI106/2</f>
        <v>1.6395864714815282E-4</v>
      </c>
    </row>
    <row r="107" spans="1:36" x14ac:dyDescent="0.3">
      <c r="A107" t="s">
        <v>62</v>
      </c>
      <c r="B107" s="21">
        <v>244491152895.88773</v>
      </c>
      <c r="C107" s="22">
        <v>2.5767794300547583E-3</v>
      </c>
      <c r="D107" s="22">
        <f t="shared" si="12"/>
        <v>6.6179117898880119E-2</v>
      </c>
      <c r="E107" s="22">
        <f t="shared" si="13"/>
        <v>0.12978145636770549</v>
      </c>
      <c r="F107" s="24">
        <f>1/150</f>
        <v>6.6666666666666671E-3</v>
      </c>
      <c r="G107">
        <f>E107*F107/2</f>
        <v>4.3260485455901834E-4</v>
      </c>
      <c r="M107" s="27" t="s">
        <v>97</v>
      </c>
      <c r="N107" s="3">
        <v>2.8723880673677149</v>
      </c>
      <c r="O107" s="20">
        <v>1.2992582790802678E-3</v>
      </c>
      <c r="P107" s="20">
        <f t="shared" si="14"/>
        <v>1.4711387072345799E-2</v>
      </c>
      <c r="Q107" s="22">
        <f t="shared" si="16"/>
        <v>2.8123515865611331E-2</v>
      </c>
      <c r="R107" s="24">
        <f>1/150</f>
        <v>6.6666666666666671E-3</v>
      </c>
      <c r="S107">
        <f>Q107*R107/2</f>
        <v>9.3745052885371109E-5</v>
      </c>
      <c r="V107" t="s">
        <v>97</v>
      </c>
      <c r="W107" s="3">
        <v>2.1040622565653999</v>
      </c>
      <c r="X107" s="20">
        <f>W107/W$152</f>
        <v>1.0358243496424067E-3</v>
      </c>
      <c r="Y107" s="20">
        <f t="shared" si="18"/>
        <v>1.1456597679107066E-2</v>
      </c>
      <c r="Z107" s="22">
        <f t="shared" si="19"/>
        <v>2.1877371008571726E-2</v>
      </c>
      <c r="AA107" s="24">
        <f t="shared" si="10"/>
        <v>6.6666666666666671E-3</v>
      </c>
      <c r="AB107" s="10">
        <f>Z107*AA107/2</f>
        <v>7.2924570028572421E-5</v>
      </c>
      <c r="AD107" t="s">
        <v>88</v>
      </c>
      <c r="AE107" s="3">
        <v>0.18679398693076998</v>
      </c>
      <c r="AF107" s="20">
        <f>AE107/AE$152</f>
        <v>1.0406458295864492E-3</v>
      </c>
      <c r="AG107" s="20">
        <f t="shared" si="17"/>
        <v>2.614637134852188E-2</v>
      </c>
      <c r="AH107" s="22">
        <f t="shared" si="15"/>
        <v>5.1252096867457311E-2</v>
      </c>
      <c r="AI107" s="24">
        <f t="shared" si="11"/>
        <v>6.6666666666666671E-3</v>
      </c>
      <c r="AJ107">
        <f>AH107*AI107/2</f>
        <v>1.7084032289152437E-4</v>
      </c>
    </row>
    <row r="108" spans="1:36" x14ac:dyDescent="0.3">
      <c r="A108" t="s">
        <v>22</v>
      </c>
      <c r="B108" s="21">
        <v>254323653957.11951</v>
      </c>
      <c r="C108" s="22">
        <v>2.6804076643711251E-3</v>
      </c>
      <c r="D108" s="22">
        <f t="shared" si="12"/>
        <v>6.8859525563251242E-2</v>
      </c>
      <c r="E108" s="22">
        <f t="shared" si="13"/>
        <v>0.13503864346213135</v>
      </c>
      <c r="F108" s="24">
        <f>1/150</f>
        <v>6.6666666666666671E-3</v>
      </c>
      <c r="G108">
        <f>E108*F108/2</f>
        <v>4.5012881154043788E-4</v>
      </c>
      <c r="M108" s="27" t="s">
        <v>102</v>
      </c>
      <c r="N108" s="3">
        <v>2.9294774699982602</v>
      </c>
      <c r="O108" s="20">
        <v>1.3250813493882628E-3</v>
      </c>
      <c r="P108" s="20">
        <f t="shared" si="14"/>
        <v>1.6036468421734063E-2</v>
      </c>
      <c r="Q108" s="22">
        <f t="shared" si="16"/>
        <v>3.0747855494079861E-2</v>
      </c>
      <c r="R108" s="24">
        <f>1/150</f>
        <v>6.6666666666666671E-3</v>
      </c>
      <c r="S108">
        <f>Q108*R108/2</f>
        <v>1.0249285164693287E-4</v>
      </c>
      <c r="V108" t="s">
        <v>49</v>
      </c>
      <c r="W108" s="3">
        <v>2.1414022306080605</v>
      </c>
      <c r="X108" s="20">
        <f>W108/W$152</f>
        <v>1.0542067212702974E-3</v>
      </c>
      <c r="Y108" s="20">
        <f t="shared" si="18"/>
        <v>1.2510804400377364E-2</v>
      </c>
      <c r="Z108" s="22">
        <f t="shared" si="19"/>
        <v>2.3967402079484432E-2</v>
      </c>
      <c r="AA108" s="24">
        <f t="shared" si="10"/>
        <v>6.6666666666666671E-3</v>
      </c>
      <c r="AB108" s="10">
        <f>Z108*AA108/2</f>
        <v>7.9891340264948106E-5</v>
      </c>
      <c r="AD108" t="s">
        <v>104</v>
      </c>
      <c r="AE108" s="3">
        <v>0.21518652528094007</v>
      </c>
      <c r="AF108" s="20">
        <f>AE108/AE$152</f>
        <v>1.1988231730382405E-3</v>
      </c>
      <c r="AG108" s="20">
        <f t="shared" si="17"/>
        <v>2.7345194521560121E-2</v>
      </c>
      <c r="AH108" s="22">
        <f t="shared" si="15"/>
        <v>5.3491565870081997E-2</v>
      </c>
      <c r="AI108" s="24">
        <f t="shared" si="11"/>
        <v>6.6666666666666671E-3</v>
      </c>
      <c r="AJ108">
        <f>AH108*AI108/2</f>
        <v>1.7830521956694001E-4</v>
      </c>
    </row>
    <row r="109" spans="1:36" x14ac:dyDescent="0.3">
      <c r="A109" t="s">
        <v>54</v>
      </c>
      <c r="B109" s="21">
        <v>288158504434.81396</v>
      </c>
      <c r="C109" s="22">
        <v>3.0370052168683624E-3</v>
      </c>
      <c r="D109" s="22">
        <f t="shared" si="12"/>
        <v>7.1896530780119608E-2</v>
      </c>
      <c r="E109" s="22">
        <f t="shared" si="13"/>
        <v>0.14075605634337085</v>
      </c>
      <c r="F109" s="24">
        <f>1/150</f>
        <v>6.6666666666666671E-3</v>
      </c>
      <c r="G109">
        <f>E109*F109/2</f>
        <v>4.6918685447790284E-4</v>
      </c>
      <c r="M109" s="27" t="s">
        <v>110</v>
      </c>
      <c r="N109" s="3">
        <v>3.0260694276289439</v>
      </c>
      <c r="O109" s="20">
        <v>1.36877248641462E-3</v>
      </c>
      <c r="P109" s="20">
        <f t="shared" si="14"/>
        <v>1.7405240908148684E-2</v>
      </c>
      <c r="Q109" s="22">
        <f t="shared" si="16"/>
        <v>3.3441709329882746E-2</v>
      </c>
      <c r="R109" s="24">
        <f>1/150</f>
        <v>6.6666666666666671E-3</v>
      </c>
      <c r="S109">
        <f>Q109*R109/2</f>
        <v>1.1147236443294249E-4</v>
      </c>
      <c r="V109" t="s">
        <v>43</v>
      </c>
      <c r="W109" s="3">
        <v>2.2120592839231987</v>
      </c>
      <c r="X109" s="20">
        <f>W109/W$152</f>
        <v>1.0889910039451227E-3</v>
      </c>
      <c r="Y109" s="20">
        <f t="shared" si="18"/>
        <v>1.3599795404322487E-2</v>
      </c>
      <c r="Z109" s="22">
        <f t="shared" si="19"/>
        <v>2.611059980469985E-2</v>
      </c>
      <c r="AA109" s="24">
        <f t="shared" si="10"/>
        <v>6.6666666666666671E-3</v>
      </c>
      <c r="AB109" s="10">
        <f>Z109*AA109/2</f>
        <v>8.7035332682332836E-5</v>
      </c>
      <c r="AD109" t="s">
        <v>57</v>
      </c>
      <c r="AE109" s="3">
        <v>0.25510054377489089</v>
      </c>
      <c r="AF109" s="20">
        <f>AE109/AE$152</f>
        <v>1.4211877018448376E-3</v>
      </c>
      <c r="AG109" s="20">
        <f t="shared" si="17"/>
        <v>2.8766382223404958E-2</v>
      </c>
      <c r="AH109" s="22">
        <f t="shared" si="15"/>
        <v>5.6111576744965079E-2</v>
      </c>
      <c r="AI109" s="24">
        <f t="shared" si="11"/>
        <v>6.6666666666666671E-3</v>
      </c>
      <c r="AJ109">
        <f>AH109*AI109/2</f>
        <v>1.870385891498836E-4</v>
      </c>
    </row>
    <row r="110" spans="1:36" x14ac:dyDescent="0.3">
      <c r="A110" t="s">
        <v>116</v>
      </c>
      <c r="B110" s="21">
        <v>336932927922.21008</v>
      </c>
      <c r="C110" s="22">
        <v>3.5510562557974521E-3</v>
      </c>
      <c r="D110" s="22">
        <f t="shared" si="12"/>
        <v>7.5447587035917058E-2</v>
      </c>
      <c r="E110" s="22">
        <f t="shared" si="13"/>
        <v>0.14734411781603668</v>
      </c>
      <c r="F110" s="24">
        <f>1/150</f>
        <v>6.6666666666666671E-3</v>
      </c>
      <c r="G110">
        <f>E110*F110/2</f>
        <v>4.9114705938678894E-4</v>
      </c>
      <c r="M110" s="27" t="s">
        <v>119</v>
      </c>
      <c r="N110" s="3">
        <v>3.1907617877812378</v>
      </c>
      <c r="O110" s="20">
        <v>1.4432672647699794E-3</v>
      </c>
      <c r="P110" s="20">
        <f t="shared" si="14"/>
        <v>1.8848508172918662E-2</v>
      </c>
      <c r="Q110" s="22">
        <f t="shared" si="16"/>
        <v>3.6253749081067349E-2</v>
      </c>
      <c r="R110" s="24">
        <f>1/150</f>
        <v>6.6666666666666671E-3</v>
      </c>
      <c r="S110">
        <f>Q110*R110/2</f>
        <v>1.2084583027022451E-4</v>
      </c>
      <c r="V110" t="s">
        <v>102</v>
      </c>
      <c r="W110" s="3">
        <v>2.6232995423305998</v>
      </c>
      <c r="X110" s="20">
        <f>W110/W$152</f>
        <v>1.2914435083244203E-3</v>
      </c>
      <c r="Y110" s="20">
        <f t="shared" si="18"/>
        <v>1.4891238912646907E-2</v>
      </c>
      <c r="Z110" s="22">
        <f t="shared" si="19"/>
        <v>2.8491034316969394E-2</v>
      </c>
      <c r="AA110" s="24">
        <f t="shared" si="10"/>
        <v>6.6666666666666671E-3</v>
      </c>
      <c r="AB110" s="10">
        <f>Z110*AA110/2</f>
        <v>9.4970114389897979E-5</v>
      </c>
      <c r="AD110" t="s">
        <v>108</v>
      </c>
      <c r="AE110" s="3">
        <v>0.2787943699182055</v>
      </c>
      <c r="AF110" s="20">
        <f>AE110/AE$152</f>
        <v>1.5531881038284684E-3</v>
      </c>
      <c r="AG110" s="20">
        <f t="shared" si="17"/>
        <v>3.0319570327233425E-2</v>
      </c>
      <c r="AH110" s="22">
        <f t="shared" si="15"/>
        <v>5.9085952550638379E-2</v>
      </c>
      <c r="AI110" s="24">
        <f t="shared" si="11"/>
        <v>6.6666666666666671E-3</v>
      </c>
      <c r="AJ110">
        <f>AH110*AI110/2</f>
        <v>1.969531751687946E-4</v>
      </c>
    </row>
    <row r="111" spans="1:36" x14ac:dyDescent="0.3">
      <c r="A111" t="s">
        <v>80</v>
      </c>
      <c r="B111" s="21">
        <v>362990610076.17419</v>
      </c>
      <c r="C111" s="22">
        <v>3.8256874584971759E-3</v>
      </c>
      <c r="D111" s="22">
        <f t="shared" si="12"/>
        <v>7.9273274494414236E-2</v>
      </c>
      <c r="E111" s="22">
        <f t="shared" si="13"/>
        <v>0.15472086153033129</v>
      </c>
      <c r="F111" s="24">
        <f>1/150</f>
        <v>6.6666666666666671E-3</v>
      </c>
      <c r="G111">
        <f>E111*F111/2</f>
        <v>5.1573620510110432E-4</v>
      </c>
      <c r="M111" s="27" t="s">
        <v>74</v>
      </c>
      <c r="N111" s="3">
        <v>3.2118248576674082</v>
      </c>
      <c r="O111" s="20">
        <v>1.4527946570619032E-3</v>
      </c>
      <c r="P111" s="20">
        <f t="shared" si="14"/>
        <v>2.0301302829980564E-2</v>
      </c>
      <c r="Q111" s="22">
        <f t="shared" si="16"/>
        <v>3.9149811002899229E-2</v>
      </c>
      <c r="R111" s="24">
        <f>1/150</f>
        <v>6.6666666666666671E-3</v>
      </c>
      <c r="S111">
        <f>Q111*R111/2</f>
        <v>1.3049937000966411E-4</v>
      </c>
      <c r="V111" t="s">
        <v>110</v>
      </c>
      <c r="W111" s="3">
        <v>2.8990872101759999</v>
      </c>
      <c r="X111" s="20">
        <f>W111/W$152</f>
        <v>1.4272130563945768E-3</v>
      </c>
      <c r="Y111" s="20">
        <f t="shared" si="18"/>
        <v>1.6318451969041484E-2</v>
      </c>
      <c r="Z111" s="22">
        <f t="shared" si="19"/>
        <v>3.1209690881688391E-2</v>
      </c>
      <c r="AA111" s="24">
        <f t="shared" si="10"/>
        <v>6.6666666666666671E-3</v>
      </c>
      <c r="AB111" s="10">
        <f>Z111*AA111/2</f>
        <v>1.0403230293896131E-4</v>
      </c>
      <c r="AD111" t="s">
        <v>66</v>
      </c>
      <c r="AE111" s="3">
        <v>0.28105718841696498</v>
      </c>
      <c r="AF111" s="20">
        <f>AE111/AE$152</f>
        <v>1.5657944659096946E-3</v>
      </c>
      <c r="AG111" s="20">
        <f t="shared" si="17"/>
        <v>3.188536479314312E-2</v>
      </c>
      <c r="AH111" s="22">
        <f t="shared" si="15"/>
        <v>6.2204935120376545E-2</v>
      </c>
      <c r="AI111" s="24">
        <f t="shared" si="11"/>
        <v>6.6666666666666671E-3</v>
      </c>
      <c r="AJ111">
        <f>AH111*AI111/2</f>
        <v>2.073497837345885E-4</v>
      </c>
    </row>
    <row r="112" spans="1:36" x14ac:dyDescent="0.3">
      <c r="A112" t="s">
        <v>13</v>
      </c>
      <c r="B112" s="21">
        <v>363238912546.89032</v>
      </c>
      <c r="C112" s="22">
        <v>3.8283044067646071E-3</v>
      </c>
      <c r="D112" s="22">
        <f t="shared" si="12"/>
        <v>8.3101578901178849E-2</v>
      </c>
      <c r="E112" s="22">
        <f t="shared" si="13"/>
        <v>0.1623748533955931</v>
      </c>
      <c r="F112" s="24">
        <f>1/150</f>
        <v>6.6666666666666671E-3</v>
      </c>
      <c r="G112">
        <f>E112*F112/2</f>
        <v>5.4124951131864372E-4</v>
      </c>
      <c r="M112" s="27" t="s">
        <v>18</v>
      </c>
      <c r="N112" s="3">
        <v>3.3096742785011615</v>
      </c>
      <c r="O112" s="20">
        <v>1.4970545784721632E-3</v>
      </c>
      <c r="P112" s="20">
        <f t="shared" si="14"/>
        <v>2.1798357408452727E-2</v>
      </c>
      <c r="Q112" s="22">
        <f t="shared" si="16"/>
        <v>4.2099660238433291E-2</v>
      </c>
      <c r="R112" s="24">
        <f>1/150</f>
        <v>6.6666666666666671E-3</v>
      </c>
      <c r="S112">
        <f>Q112*R112/2</f>
        <v>1.4033220079477765E-4</v>
      </c>
      <c r="V112" t="s">
        <v>65</v>
      </c>
      <c r="W112" s="3">
        <v>3.076634483236</v>
      </c>
      <c r="X112" s="20">
        <f>W112/W$152</f>
        <v>1.5146191148770677E-3</v>
      </c>
      <c r="Y112" s="20">
        <f t="shared" si="18"/>
        <v>1.7833071083918552E-2</v>
      </c>
      <c r="Z112" s="22">
        <f t="shared" si="19"/>
        <v>3.4151523052960035E-2</v>
      </c>
      <c r="AA112" s="24">
        <f t="shared" si="10"/>
        <v>6.6666666666666671E-3</v>
      </c>
      <c r="AB112" s="10">
        <f>Z112*AA112/2</f>
        <v>1.1383841017653346E-4</v>
      </c>
      <c r="AD112" t="s">
        <v>39</v>
      </c>
      <c r="AE112" s="3">
        <v>0.28644266227293397</v>
      </c>
      <c r="AF112" s="20">
        <f>AE112/AE$152</f>
        <v>1.5957974172929107E-3</v>
      </c>
      <c r="AG112" s="20">
        <f t="shared" si="17"/>
        <v>3.3481162210436032E-2</v>
      </c>
      <c r="AH112" s="22">
        <f t="shared" si="15"/>
        <v>6.5366527003579145E-2</v>
      </c>
      <c r="AI112" s="24">
        <f t="shared" si="11"/>
        <v>6.6666666666666671E-3</v>
      </c>
      <c r="AJ112">
        <f>AH112*AI112/2</f>
        <v>2.1788842334526383E-4</v>
      </c>
    </row>
    <row r="113" spans="1:36" x14ac:dyDescent="0.3">
      <c r="A113" t="s">
        <v>86</v>
      </c>
      <c r="B113" s="21">
        <v>365831497261.34131</v>
      </c>
      <c r="C113" s="22">
        <v>3.8556285814177341E-3</v>
      </c>
      <c r="D113" s="22">
        <f t="shared" si="12"/>
        <v>8.6957207482596582E-2</v>
      </c>
      <c r="E113" s="22">
        <f t="shared" si="13"/>
        <v>0.17005878638377542</v>
      </c>
      <c r="F113" s="24">
        <f>1/150</f>
        <v>6.6666666666666671E-3</v>
      </c>
      <c r="G113">
        <f>E113*F113/2</f>
        <v>5.6686262127925147E-4</v>
      </c>
      <c r="M113" s="27" t="s">
        <v>62</v>
      </c>
      <c r="N113" s="3">
        <v>3.3140136684484958</v>
      </c>
      <c r="O113" s="20">
        <v>1.4990174011071974E-3</v>
      </c>
      <c r="P113" s="20">
        <f t="shared" si="14"/>
        <v>2.3297374809559925E-2</v>
      </c>
      <c r="Q113" s="22">
        <f t="shared" si="16"/>
        <v>4.5095732218012649E-2</v>
      </c>
      <c r="R113" s="24">
        <f>1/150</f>
        <v>6.6666666666666671E-3</v>
      </c>
      <c r="S113">
        <f>Q113*R113/2</f>
        <v>1.5031910739337552E-4</v>
      </c>
      <c r="V113" t="s">
        <v>74</v>
      </c>
      <c r="W113" s="3">
        <v>3.1634456845399996</v>
      </c>
      <c r="X113" s="20">
        <f>W113/W$152</f>
        <v>1.5573560423856557E-3</v>
      </c>
      <c r="Y113" s="20">
        <f t="shared" si="18"/>
        <v>1.9390427126304208E-2</v>
      </c>
      <c r="Z113" s="22">
        <f t="shared" si="19"/>
        <v>3.7223498210222764E-2</v>
      </c>
      <c r="AA113" s="24">
        <f t="shared" si="10"/>
        <v>6.6666666666666671E-3</v>
      </c>
      <c r="AB113" s="10">
        <f>Z113*AA113/2</f>
        <v>1.2407832736740921E-4</v>
      </c>
      <c r="AD113" t="s">
        <v>19</v>
      </c>
      <c r="AE113" s="3">
        <v>0.29534088065226199</v>
      </c>
      <c r="AF113" s="20">
        <f>AE113/AE$152</f>
        <v>1.6453701792396276E-3</v>
      </c>
      <c r="AG113" s="20">
        <f t="shared" si="17"/>
        <v>3.5126532389675662E-2</v>
      </c>
      <c r="AH113" s="22">
        <f t="shared" si="15"/>
        <v>6.8607694600111693E-2</v>
      </c>
      <c r="AI113" s="24">
        <f t="shared" si="11"/>
        <v>6.6666666666666671E-3</v>
      </c>
      <c r="AJ113">
        <f>AH113*AI113/2</f>
        <v>2.2869231533370567E-4</v>
      </c>
    </row>
    <row r="114" spans="1:36" x14ac:dyDescent="0.3">
      <c r="A114" t="s">
        <v>98</v>
      </c>
      <c r="B114" s="21">
        <v>405742875627.91882</v>
      </c>
      <c r="C114" s="22">
        <v>4.2762688278315721E-3</v>
      </c>
      <c r="D114" s="22">
        <f t="shared" si="12"/>
        <v>9.1233476310428149E-2</v>
      </c>
      <c r="E114" s="22">
        <f t="shared" si="13"/>
        <v>0.17819068379302472</v>
      </c>
      <c r="F114" s="24">
        <f>1/150</f>
        <v>6.6666666666666671E-3</v>
      </c>
      <c r="G114">
        <f>E114*F114/2</f>
        <v>5.9396894597674914E-4</v>
      </c>
      <c r="M114" s="27" t="s">
        <v>11</v>
      </c>
      <c r="N114" s="3">
        <v>3.3801629478393691</v>
      </c>
      <c r="O114" s="20">
        <v>1.5289384970343738E-3</v>
      </c>
      <c r="P114" s="20">
        <f t="shared" si="14"/>
        <v>2.4826313306594298E-2</v>
      </c>
      <c r="Q114" s="22">
        <f t="shared" si="16"/>
        <v>4.8123688116154223E-2</v>
      </c>
      <c r="R114" s="24">
        <f>1/150</f>
        <v>6.6666666666666671E-3</v>
      </c>
      <c r="S114">
        <f>Q114*R114/2</f>
        <v>1.6041229372051408E-4</v>
      </c>
      <c r="V114" t="s">
        <v>119</v>
      </c>
      <c r="W114" s="3">
        <v>3.1862227667159999</v>
      </c>
      <c r="X114" s="20">
        <f>W114/W$152</f>
        <v>1.5685691404097701E-3</v>
      </c>
      <c r="Y114" s="20">
        <f t="shared" si="18"/>
        <v>2.0958996266713978E-2</v>
      </c>
      <c r="Z114" s="22">
        <f t="shared" si="19"/>
        <v>4.0349423393018183E-2</v>
      </c>
      <c r="AA114" s="24">
        <f t="shared" si="10"/>
        <v>6.6666666666666671E-3</v>
      </c>
      <c r="AB114" s="10">
        <f>Z114*AA114/2</f>
        <v>1.3449807797672727E-4</v>
      </c>
      <c r="AD114" t="s">
        <v>102</v>
      </c>
      <c r="AE114" s="3">
        <v>0.30617792766766017</v>
      </c>
      <c r="AF114" s="20">
        <f>AE114/AE$152</f>
        <v>1.7057443270744083E-3</v>
      </c>
      <c r="AG114" s="20">
        <f t="shared" si="17"/>
        <v>3.6832276716750073E-2</v>
      </c>
      <c r="AH114" s="22">
        <f t="shared" si="15"/>
        <v>7.1958809106425742E-2</v>
      </c>
      <c r="AI114" s="24">
        <f t="shared" si="11"/>
        <v>6.6666666666666671E-3</v>
      </c>
      <c r="AJ114">
        <f>AH114*AI114/2</f>
        <v>2.3986269702141915E-4</v>
      </c>
    </row>
    <row r="115" spans="1:36" x14ac:dyDescent="0.3">
      <c r="A115" t="s">
        <v>9</v>
      </c>
      <c r="B115" s="21">
        <v>408736675576.89142</v>
      </c>
      <c r="C115" s="22">
        <v>4.3078215528886479E-3</v>
      </c>
      <c r="D115" s="22">
        <f t="shared" si="12"/>
        <v>9.5541297863316804E-2</v>
      </c>
      <c r="E115" s="22">
        <f t="shared" si="13"/>
        <v>0.18677477417374494</v>
      </c>
      <c r="F115" s="24">
        <f>1/150</f>
        <v>6.6666666666666671E-3</v>
      </c>
      <c r="G115">
        <f>E115*F115/2</f>
        <v>6.2258258057914986E-4</v>
      </c>
      <c r="M115" s="27" t="s">
        <v>23</v>
      </c>
      <c r="N115" s="3">
        <v>3.9175808301676773</v>
      </c>
      <c r="O115" s="20">
        <v>1.7720270409791749E-3</v>
      </c>
      <c r="P115" s="20">
        <f t="shared" si="14"/>
        <v>2.6598340347573472E-2</v>
      </c>
      <c r="Q115" s="22">
        <f t="shared" si="16"/>
        <v>5.1424653654167769E-2</v>
      </c>
      <c r="R115" s="24">
        <f>1/150</f>
        <v>6.6666666666666671E-3</v>
      </c>
      <c r="S115">
        <f>Q115*R115/2</f>
        <v>1.7141551218055923E-4</v>
      </c>
      <c r="V115" t="s">
        <v>62</v>
      </c>
      <c r="W115" s="3">
        <v>3.2444414458879991</v>
      </c>
      <c r="X115" s="20">
        <f>W115/W$152</f>
        <v>1.5972300440033808E-3</v>
      </c>
      <c r="Y115" s="20">
        <f t="shared" si="18"/>
        <v>2.255622631071736E-2</v>
      </c>
      <c r="Z115" s="22">
        <f t="shared" si="19"/>
        <v>4.3515222577431338E-2</v>
      </c>
      <c r="AA115" s="24">
        <f t="shared" si="10"/>
        <v>6.6666666666666671E-3</v>
      </c>
      <c r="AB115" s="10">
        <f>Z115*AA115/2</f>
        <v>1.4505074192477113E-4</v>
      </c>
      <c r="AD115" t="s">
        <v>53</v>
      </c>
      <c r="AE115" s="3">
        <v>0.30742993733125307</v>
      </c>
      <c r="AF115" s="20">
        <f>AE115/AE$152</f>
        <v>1.7127193836938847E-3</v>
      </c>
      <c r="AG115" s="20">
        <f t="shared" si="17"/>
        <v>3.8544996100443957E-2</v>
      </c>
      <c r="AH115" s="22">
        <f t="shared" si="15"/>
        <v>7.537727281719403E-2</v>
      </c>
      <c r="AI115" s="24">
        <f t="shared" si="11"/>
        <v>6.6666666666666671E-3</v>
      </c>
      <c r="AJ115">
        <f>AH115*AI115/2</f>
        <v>2.5125757605731346E-4</v>
      </c>
    </row>
    <row r="116" spans="1:36" x14ac:dyDescent="0.3">
      <c r="A116" t="s">
        <v>133</v>
      </c>
      <c r="B116" s="21">
        <v>410716372191.50397</v>
      </c>
      <c r="C116" s="22">
        <v>4.3286862813414397E-3</v>
      </c>
      <c r="D116" s="22">
        <f t="shared" si="12"/>
        <v>9.9869984144658239E-2</v>
      </c>
      <c r="E116" s="22">
        <f t="shared" si="13"/>
        <v>0.19541128200797503</v>
      </c>
      <c r="F116" s="24">
        <f>1/150</f>
        <v>6.6666666666666671E-3</v>
      </c>
      <c r="G116">
        <f>E116*F116/2</f>
        <v>6.5137094002658345E-4</v>
      </c>
      <c r="M116" s="27" t="s">
        <v>65</v>
      </c>
      <c r="N116" s="3">
        <v>4.0528003869630362</v>
      </c>
      <c r="O116" s="20">
        <v>1.8331904786970227E-3</v>
      </c>
      <c r="P116" s="20">
        <f t="shared" si="14"/>
        <v>2.8431530826270493E-2</v>
      </c>
      <c r="Q116" s="22">
        <f t="shared" si="16"/>
        <v>5.5029871173843961E-2</v>
      </c>
      <c r="R116" s="24">
        <f>1/150</f>
        <v>6.6666666666666671E-3</v>
      </c>
      <c r="S116">
        <f>Q116*R116/2</f>
        <v>1.8343290391281323E-4</v>
      </c>
      <c r="V116" t="s">
        <v>11</v>
      </c>
      <c r="W116" s="3">
        <v>3.3413308515999995</v>
      </c>
      <c r="X116" s="20">
        <f>W116/W$152</f>
        <v>1.6449284452012128E-3</v>
      </c>
      <c r="Y116" s="20">
        <f t="shared" si="18"/>
        <v>2.4201154755918573E-2</v>
      </c>
      <c r="Z116" s="22">
        <f t="shared" si="19"/>
        <v>4.6757381066635934E-2</v>
      </c>
      <c r="AA116" s="24">
        <f t="shared" si="10"/>
        <v>6.6666666666666671E-3</v>
      </c>
      <c r="AB116" s="10">
        <f>Z116*AA116/2</f>
        <v>1.5585793688878646E-4</v>
      </c>
      <c r="AD116" t="s">
        <v>113</v>
      </c>
      <c r="AE116" s="3">
        <v>0.31284412554874974</v>
      </c>
      <c r="AF116" s="20">
        <f>AE116/AE$152</f>
        <v>1.742882305325951E-3</v>
      </c>
      <c r="AG116" s="20">
        <f t="shared" si="17"/>
        <v>4.028787840576991E-2</v>
      </c>
      <c r="AH116" s="22">
        <f t="shared" si="15"/>
        <v>7.8832874506213874E-2</v>
      </c>
      <c r="AI116" s="24">
        <f t="shared" si="11"/>
        <v>6.6666666666666671E-3</v>
      </c>
      <c r="AJ116">
        <f>AH116*AI116/2</f>
        <v>2.6277624835404625E-4</v>
      </c>
    </row>
    <row r="117" spans="1:36" x14ac:dyDescent="0.3">
      <c r="A117" t="s">
        <v>23</v>
      </c>
      <c r="B117" s="21">
        <v>417380424316.46967</v>
      </c>
      <c r="C117" s="22">
        <v>4.398921102655144E-3</v>
      </c>
      <c r="D117" s="22">
        <f t="shared" si="12"/>
        <v>0.10426890524731339</v>
      </c>
      <c r="E117" s="22">
        <f t="shared" si="13"/>
        <v>0.20413888939197161</v>
      </c>
      <c r="F117" s="24">
        <f>1/150</f>
        <v>6.6666666666666671E-3</v>
      </c>
      <c r="G117">
        <f>E117*F117/2</f>
        <v>6.8046296463990545E-4</v>
      </c>
      <c r="M117" s="27" t="s">
        <v>103</v>
      </c>
      <c r="N117" s="3">
        <v>4.3902473865844502</v>
      </c>
      <c r="O117" s="20">
        <v>1.9858268209064166E-3</v>
      </c>
      <c r="P117" s="20">
        <f t="shared" si="14"/>
        <v>3.0417357647176908E-2</v>
      </c>
      <c r="Q117" s="22">
        <f t="shared" si="16"/>
        <v>5.8848888473447401E-2</v>
      </c>
      <c r="R117" s="24">
        <f>1/150</f>
        <v>6.6666666666666671E-3</v>
      </c>
      <c r="S117">
        <f>Q117*R117/2</f>
        <v>1.9616296157815802E-4</v>
      </c>
      <c r="V117" t="s">
        <v>23</v>
      </c>
      <c r="W117" s="3">
        <v>3.4972323075635994</v>
      </c>
      <c r="X117" s="20">
        <f>W117/W$152</f>
        <v>1.7216783245015551E-3</v>
      </c>
      <c r="Y117" s="20">
        <f t="shared" si="18"/>
        <v>2.5922833080420128E-2</v>
      </c>
      <c r="Z117" s="22">
        <f t="shared" si="19"/>
        <v>5.0123987836338701E-2</v>
      </c>
      <c r="AA117" s="24">
        <f t="shared" si="10"/>
        <v>6.6666666666666671E-3</v>
      </c>
      <c r="AB117" s="10">
        <f>Z117*AA117/2</f>
        <v>1.6707995945446235E-4</v>
      </c>
      <c r="AD117" t="s">
        <v>56</v>
      </c>
      <c r="AE117" s="3">
        <v>0.38507667495318815</v>
      </c>
      <c r="AF117" s="20">
        <f>AE117/AE$152</f>
        <v>2.1452962295278317E-3</v>
      </c>
      <c r="AG117" s="20">
        <f t="shared" si="17"/>
        <v>4.2433174635297742E-2</v>
      </c>
      <c r="AH117" s="22">
        <f t="shared" si="15"/>
        <v>8.2721053041067652E-2</v>
      </c>
      <c r="AI117" s="24">
        <f t="shared" si="11"/>
        <v>6.6666666666666671E-3</v>
      </c>
      <c r="AJ117">
        <f>AH117*AI117/2</f>
        <v>2.7573684347022553E-4</v>
      </c>
    </row>
    <row r="118" spans="1:36" x14ac:dyDescent="0.3">
      <c r="A118" t="s">
        <v>17</v>
      </c>
      <c r="B118" s="21">
        <v>421809268656.55359</v>
      </c>
      <c r="C118" s="22">
        <v>4.4455982721938814E-3</v>
      </c>
      <c r="D118" s="22">
        <f t="shared" si="12"/>
        <v>0.10871450351950727</v>
      </c>
      <c r="E118" s="22">
        <f t="shared" si="13"/>
        <v>0.21298340876682065</v>
      </c>
      <c r="F118" s="24">
        <f>1/150</f>
        <v>6.6666666666666671E-3</v>
      </c>
      <c r="G118">
        <f>E118*F118/2</f>
        <v>7.0994469588940221E-4</v>
      </c>
      <c r="M118" s="27" t="s">
        <v>133</v>
      </c>
      <c r="N118" s="3">
        <v>4.4096804660750841</v>
      </c>
      <c r="O118" s="20">
        <v>1.9946169247587035E-3</v>
      </c>
      <c r="P118" s="20">
        <f t="shared" si="14"/>
        <v>3.2411974571935613E-2</v>
      </c>
      <c r="Q118" s="22">
        <f t="shared" si="16"/>
        <v>6.2829332219112521E-2</v>
      </c>
      <c r="R118" s="24">
        <f>1/150</f>
        <v>6.6666666666666671E-3</v>
      </c>
      <c r="S118">
        <f>Q118*R118/2</f>
        <v>2.0943110739704175E-4</v>
      </c>
      <c r="V118" t="s">
        <v>103</v>
      </c>
      <c r="W118" s="3">
        <v>3.9632906419037996</v>
      </c>
      <c r="X118" s="20">
        <f>W118/W$152</f>
        <v>1.9511176243877635E-3</v>
      </c>
      <c r="Y118" s="20">
        <f t="shared" si="18"/>
        <v>2.7873950704807891E-2</v>
      </c>
      <c r="Z118" s="22">
        <f t="shared" si="19"/>
        <v>5.3796783785228022E-2</v>
      </c>
      <c r="AA118" s="24">
        <f t="shared" si="10"/>
        <v>6.6666666666666671E-3</v>
      </c>
      <c r="AB118" s="10">
        <f>Z118*AA118/2</f>
        <v>1.7932261261742675E-4</v>
      </c>
      <c r="AD118" t="s">
        <v>23</v>
      </c>
      <c r="AE118" s="3">
        <v>0.42034852260407801</v>
      </c>
      <c r="AF118" s="20">
        <f>AE118/AE$152</f>
        <v>2.3417988138070087E-3</v>
      </c>
      <c r="AG118" s="20">
        <f t="shared" si="17"/>
        <v>4.4774973449104749E-2</v>
      </c>
      <c r="AH118" s="22">
        <f t="shared" si="15"/>
        <v>8.7208148084402498E-2</v>
      </c>
      <c r="AI118" s="24">
        <f t="shared" si="11"/>
        <v>6.6666666666666671E-3</v>
      </c>
      <c r="AJ118">
        <f>AH118*AI118/2</f>
        <v>2.9069382694800835E-4</v>
      </c>
    </row>
    <row r="119" spans="1:36" x14ac:dyDescent="0.3">
      <c r="A119" t="s">
        <v>65</v>
      </c>
      <c r="B119" s="21">
        <v>422559964245.24005</v>
      </c>
      <c r="C119" s="22">
        <v>4.4535101206523977E-3</v>
      </c>
      <c r="D119" s="22">
        <f t="shared" si="12"/>
        <v>0.11316801364015967</v>
      </c>
      <c r="E119" s="22">
        <f t="shared" si="13"/>
        <v>0.22188251715966695</v>
      </c>
      <c r="F119" s="24">
        <f>1/150</f>
        <v>6.6666666666666671E-3</v>
      </c>
      <c r="G119">
        <f>E119*F119/2</f>
        <v>7.396083905322232E-4</v>
      </c>
      <c r="M119" s="27" t="s">
        <v>44</v>
      </c>
      <c r="N119" s="3">
        <v>4.7634320464888642</v>
      </c>
      <c r="O119" s="20">
        <v>2.1546282668234713E-3</v>
      </c>
      <c r="P119" s="20">
        <f t="shared" si="14"/>
        <v>3.4566602838759085E-2</v>
      </c>
      <c r="Q119" s="22">
        <f t="shared" si="16"/>
        <v>6.6978577410694698E-2</v>
      </c>
      <c r="R119" s="24">
        <f>1/150</f>
        <v>6.6666666666666671E-3</v>
      </c>
      <c r="S119">
        <f>Q119*R119/2</f>
        <v>2.2326192470231568E-4</v>
      </c>
      <c r="V119" t="s">
        <v>44</v>
      </c>
      <c r="W119" s="3">
        <v>4.183761958511</v>
      </c>
      <c r="X119" s="20">
        <f>W119/W$152</f>
        <v>2.0596550773204735E-3</v>
      </c>
      <c r="Y119" s="20">
        <f t="shared" si="18"/>
        <v>2.9933605782128364E-2</v>
      </c>
      <c r="Z119" s="22">
        <f t="shared" si="19"/>
        <v>5.7807556486936251E-2</v>
      </c>
      <c r="AA119" s="24">
        <f t="shared" si="10"/>
        <v>6.6666666666666671E-3</v>
      </c>
      <c r="AB119" s="10">
        <f>Z119*AA119/2</f>
        <v>1.9269185495645417E-4</v>
      </c>
      <c r="AD119" t="s">
        <v>103</v>
      </c>
      <c r="AE119" s="3">
        <v>0.42695674468065015</v>
      </c>
      <c r="AF119" s="20">
        <f>AE119/AE$152</f>
        <v>2.3786138037216178E-3</v>
      </c>
      <c r="AG119" s="20">
        <f t="shared" si="17"/>
        <v>4.7153587252826368E-2</v>
      </c>
      <c r="AH119" s="22">
        <f t="shared" si="15"/>
        <v>9.1928560701931117E-2</v>
      </c>
      <c r="AI119" s="24">
        <f t="shared" si="11"/>
        <v>6.6666666666666671E-3</v>
      </c>
      <c r="AJ119">
        <f>AH119*AI119/2</f>
        <v>3.0642853567310372E-4</v>
      </c>
    </row>
    <row r="120" spans="1:36" x14ac:dyDescent="0.3">
      <c r="A120" t="s">
        <v>8</v>
      </c>
      <c r="B120" s="21">
        <v>443929688973.89081</v>
      </c>
      <c r="C120" s="22">
        <v>4.6787332686252332E-3</v>
      </c>
      <c r="D120" s="22">
        <f t="shared" si="12"/>
        <v>0.11784674690878491</v>
      </c>
      <c r="E120" s="22">
        <f t="shared" si="13"/>
        <v>0.2310147605489446</v>
      </c>
      <c r="F120" s="24">
        <f>1/150</f>
        <v>6.6666666666666671E-3</v>
      </c>
      <c r="G120">
        <f>E120*F120/2</f>
        <v>7.7004920182981542E-4</v>
      </c>
      <c r="M120" s="27" t="s">
        <v>31</v>
      </c>
      <c r="N120" s="3">
        <v>5.1193054920609713</v>
      </c>
      <c r="O120" s="20">
        <v>2.3155993854955047E-3</v>
      </c>
      <c r="P120" s="20">
        <f t="shared" si="14"/>
        <v>3.688220222425459E-2</v>
      </c>
      <c r="Q120" s="22">
        <f t="shared" si="16"/>
        <v>7.1448805063013682E-2</v>
      </c>
      <c r="R120" s="24">
        <f>1/150</f>
        <v>6.6666666666666671E-3</v>
      </c>
      <c r="S120">
        <f>Q120*R120/2</f>
        <v>2.3816268354337895E-4</v>
      </c>
      <c r="V120" t="s">
        <v>42</v>
      </c>
      <c r="W120" s="3">
        <v>4.4529711376772028</v>
      </c>
      <c r="X120" s="20">
        <f>W120/W$152</f>
        <v>2.192186052607673E-3</v>
      </c>
      <c r="Y120" s="20">
        <f t="shared" si="18"/>
        <v>3.2125791834736038E-2</v>
      </c>
      <c r="Z120" s="22">
        <f t="shared" si="19"/>
        <v>6.2059397616864402E-2</v>
      </c>
      <c r="AA120" s="24">
        <f t="shared" si="10"/>
        <v>6.6666666666666671E-3</v>
      </c>
      <c r="AB120" s="10">
        <f>Z120*AA120/2</f>
        <v>2.0686465872288135E-4</v>
      </c>
      <c r="AD120" t="s">
        <v>58</v>
      </c>
      <c r="AE120" s="3">
        <v>0.45526025400691272</v>
      </c>
      <c r="AF120" s="20">
        <f>AE120/AE$152</f>
        <v>2.536295158603521E-3</v>
      </c>
      <c r="AG120" s="20">
        <f t="shared" si="17"/>
        <v>4.9689882411429888E-2</v>
      </c>
      <c r="AH120" s="22">
        <f t="shared" si="15"/>
        <v>9.6843469664256249E-2</v>
      </c>
      <c r="AI120" s="24">
        <f t="shared" si="11"/>
        <v>6.6666666666666671E-3</v>
      </c>
      <c r="AJ120">
        <f>AH120*AI120/2</f>
        <v>3.2281156554752087E-4</v>
      </c>
    </row>
    <row r="121" spans="1:36" x14ac:dyDescent="0.3">
      <c r="A121" t="s">
        <v>103</v>
      </c>
      <c r="B121" s="21">
        <v>454721721977.44543</v>
      </c>
      <c r="C121" s="22">
        <v>4.7924743521885861E-3</v>
      </c>
      <c r="D121" s="22">
        <f t="shared" si="12"/>
        <v>0.1226392212609735</v>
      </c>
      <c r="E121" s="22">
        <f t="shared" si="13"/>
        <v>0.24048596816975842</v>
      </c>
      <c r="F121" s="24">
        <f>1/150</f>
        <v>6.6666666666666671E-3</v>
      </c>
      <c r="G121">
        <f>E121*F121/2</f>
        <v>8.0161989389919484E-4</v>
      </c>
      <c r="M121" s="27" t="s">
        <v>42</v>
      </c>
      <c r="N121" s="3">
        <v>5.2842229561264773</v>
      </c>
      <c r="O121" s="20">
        <v>2.3901959843974038E-3</v>
      </c>
      <c r="P121" s="20">
        <f t="shared" si="14"/>
        <v>3.9272398208651992E-2</v>
      </c>
      <c r="Q121" s="22">
        <f t="shared" si="16"/>
        <v>7.6154600432906588E-2</v>
      </c>
      <c r="R121" s="24">
        <f>1/150</f>
        <v>6.6666666666666671E-3</v>
      </c>
      <c r="S121">
        <f>Q121*R121/2</f>
        <v>2.5384866810968865E-4</v>
      </c>
      <c r="V121" t="s">
        <v>31</v>
      </c>
      <c r="W121" s="3">
        <v>4.9443262783419994</v>
      </c>
      <c r="X121" s="20">
        <f>W121/W$152</f>
        <v>2.4340789041306936E-3</v>
      </c>
      <c r="Y121" s="20">
        <f t="shared" si="18"/>
        <v>3.4559870738866731E-2</v>
      </c>
      <c r="Z121" s="22">
        <f t="shared" si="19"/>
        <v>6.6685662573602769E-2</v>
      </c>
      <c r="AA121" s="24">
        <f t="shared" si="10"/>
        <v>6.6666666666666671E-3</v>
      </c>
      <c r="AB121" s="10">
        <f>Z121*AA121/2</f>
        <v>2.2228554191200923E-4</v>
      </c>
      <c r="AD121" t="s">
        <v>96</v>
      </c>
      <c r="AE121" s="3">
        <v>0.48965369436811446</v>
      </c>
      <c r="AF121" s="20">
        <f>AE121/AE$152</f>
        <v>2.7279040581463096E-3</v>
      </c>
      <c r="AG121" s="20">
        <f t="shared" si="17"/>
        <v>5.2417786469576198E-2</v>
      </c>
      <c r="AH121" s="22">
        <f t="shared" si="15"/>
        <v>0.10210766888100609</v>
      </c>
      <c r="AI121" s="24">
        <f t="shared" si="11"/>
        <v>6.6666666666666671E-3</v>
      </c>
      <c r="AJ121">
        <f>AH121*AI121/2</f>
        <v>3.403588962700203E-4</v>
      </c>
    </row>
    <row r="122" spans="1:36" x14ac:dyDescent="0.3">
      <c r="A122" t="s">
        <v>25</v>
      </c>
      <c r="B122" s="21">
        <v>457093751868.53564</v>
      </c>
      <c r="C122" s="22">
        <v>4.8174740209227717E-3</v>
      </c>
      <c r="D122" s="22">
        <f t="shared" si="12"/>
        <v>0.12745669528189627</v>
      </c>
      <c r="E122" s="22">
        <f t="shared" si="13"/>
        <v>0.25009591654286978</v>
      </c>
      <c r="F122" s="24">
        <f>1/150</f>
        <v>6.6666666666666671E-3</v>
      </c>
      <c r="G122">
        <f>E122*F122/2</f>
        <v>8.3365305514289932E-4</v>
      </c>
      <c r="M122" s="27" t="s">
        <v>58</v>
      </c>
      <c r="N122" s="3">
        <v>5.8328778847869129</v>
      </c>
      <c r="O122" s="20">
        <v>2.6383673462404165E-3</v>
      </c>
      <c r="P122" s="20">
        <f t="shared" si="14"/>
        <v>4.1910765554892405E-2</v>
      </c>
      <c r="Q122" s="22">
        <f t="shared" si="16"/>
        <v>8.1183163763544397E-2</v>
      </c>
      <c r="R122" s="24">
        <f>1/150</f>
        <v>6.6666666666666671E-3</v>
      </c>
      <c r="S122">
        <f>Q122*R122/2</f>
        <v>2.7061054587848132E-4</v>
      </c>
      <c r="V122" t="s">
        <v>58</v>
      </c>
      <c r="W122" s="3">
        <v>5.3776176307800005</v>
      </c>
      <c r="X122" s="20">
        <f>W122/W$152</f>
        <v>2.6473871044675979E-3</v>
      </c>
      <c r="Y122" s="20">
        <f t="shared" si="18"/>
        <v>3.7207257843334327E-2</v>
      </c>
      <c r="Z122" s="22">
        <f t="shared" si="19"/>
        <v>7.1767128582201051E-2</v>
      </c>
      <c r="AA122" s="24">
        <f t="shared" si="10"/>
        <v>6.6666666666666671E-3</v>
      </c>
      <c r="AB122" s="10">
        <f>Z122*AA122/2</f>
        <v>2.3922376194067019E-4</v>
      </c>
      <c r="AD122" t="s">
        <v>47</v>
      </c>
      <c r="AE122" s="3">
        <v>0.50098094440299623</v>
      </c>
      <c r="AF122" s="20">
        <f>AE122/AE$152</f>
        <v>2.7910091703780616E-3</v>
      </c>
      <c r="AG122" s="20">
        <f t="shared" si="17"/>
        <v>5.5208795639954261E-2</v>
      </c>
      <c r="AH122" s="22">
        <f t="shared" si="15"/>
        <v>0.10762658210953047</v>
      </c>
      <c r="AI122" s="24">
        <f t="shared" si="11"/>
        <v>6.6666666666666671E-3</v>
      </c>
      <c r="AJ122">
        <f>AH122*AI122/2</f>
        <v>3.5875527369843489E-4</v>
      </c>
    </row>
    <row r="123" spans="1:36" x14ac:dyDescent="0.3">
      <c r="A123" t="s">
        <v>78</v>
      </c>
      <c r="B123" s="21">
        <v>471178549995.25305</v>
      </c>
      <c r="C123" s="22">
        <v>4.965918730105579E-3</v>
      </c>
      <c r="D123" s="22">
        <f t="shared" si="12"/>
        <v>0.13242261401200184</v>
      </c>
      <c r="E123" s="22">
        <f t="shared" si="13"/>
        <v>0.25987930929389813</v>
      </c>
      <c r="F123" s="24">
        <f>1/150</f>
        <v>6.6666666666666671E-3</v>
      </c>
      <c r="G123">
        <f>E123*F123/2</f>
        <v>8.6626436431299378E-4</v>
      </c>
      <c r="M123" s="27" t="s">
        <v>56</v>
      </c>
      <c r="N123" s="3">
        <v>6.17031281129759</v>
      </c>
      <c r="O123" s="20">
        <v>2.790998227457524E-3</v>
      </c>
      <c r="P123" s="20">
        <f t="shared" si="14"/>
        <v>4.4701763782349926E-2</v>
      </c>
      <c r="Q123" s="22">
        <f t="shared" si="16"/>
        <v>8.6612529337242339E-2</v>
      </c>
      <c r="R123" s="24">
        <f>1/150</f>
        <v>6.6666666666666671E-3</v>
      </c>
      <c r="S123">
        <f>Q123*R123/2</f>
        <v>2.8870843112414115E-4</v>
      </c>
      <c r="V123" t="s">
        <v>56</v>
      </c>
      <c r="W123" s="3">
        <v>5.7852361363444018</v>
      </c>
      <c r="X123" s="20">
        <f>W123/W$152</f>
        <v>2.848056629388251E-3</v>
      </c>
      <c r="Y123" s="20">
        <f t="shared" si="18"/>
        <v>4.0055314472722578E-2</v>
      </c>
      <c r="Z123" s="22">
        <f t="shared" si="19"/>
        <v>7.7262572316056904E-2</v>
      </c>
      <c r="AA123" s="24">
        <f t="shared" si="10"/>
        <v>6.6666666666666671E-3</v>
      </c>
      <c r="AB123" s="10">
        <f>Z123*AA123/2</f>
        <v>2.5754190772018972E-4</v>
      </c>
      <c r="AD123" t="s">
        <v>44</v>
      </c>
      <c r="AE123" s="3">
        <v>0.57967008797786401</v>
      </c>
      <c r="AF123" s="20">
        <f>AE123/AE$152</f>
        <v>3.2293933520126921E-3</v>
      </c>
      <c r="AG123" s="20">
        <f t="shared" si="17"/>
        <v>5.8438188991966955E-2</v>
      </c>
      <c r="AH123" s="22">
        <f t="shared" si="15"/>
        <v>0.11364698463192122</v>
      </c>
      <c r="AI123" s="24">
        <f t="shared" si="11"/>
        <v>6.6666666666666671E-3</v>
      </c>
      <c r="AJ123">
        <f>AH123*AI123/2</f>
        <v>3.7882328210640408E-4</v>
      </c>
    </row>
    <row r="124" spans="1:36" x14ac:dyDescent="0.3">
      <c r="A124" t="s">
        <v>108</v>
      </c>
      <c r="B124" s="21">
        <v>482189779212.63232</v>
      </c>
      <c r="C124" s="22">
        <v>5.0819700007175804E-3</v>
      </c>
      <c r="D124" s="22">
        <f t="shared" si="12"/>
        <v>0.13750458401271942</v>
      </c>
      <c r="E124" s="22">
        <f t="shared" si="13"/>
        <v>0.26992719802472126</v>
      </c>
      <c r="F124" s="24">
        <f>1/150</f>
        <v>6.6666666666666671E-3</v>
      </c>
      <c r="G124">
        <f>E124*F124/2</f>
        <v>8.9975732674907089E-4</v>
      </c>
      <c r="M124" s="27" t="s">
        <v>39</v>
      </c>
      <c r="N124" s="3">
        <v>6.7236931248011338</v>
      </c>
      <c r="O124" s="20">
        <v>3.0413070077952718E-3</v>
      </c>
      <c r="P124" s="20">
        <f t="shared" si="14"/>
        <v>4.7743070790145198E-2</v>
      </c>
      <c r="Q124" s="22">
        <f t="shared" si="16"/>
        <v>9.2444834572495124E-2</v>
      </c>
      <c r="R124" s="24">
        <f>1/150</f>
        <v>6.6666666666666671E-3</v>
      </c>
      <c r="S124">
        <f>Q124*R124/2</f>
        <v>3.0814944857498376E-4</v>
      </c>
      <c r="V124" t="s">
        <v>47</v>
      </c>
      <c r="W124" s="3">
        <v>6.4105906871701004</v>
      </c>
      <c r="X124" s="20">
        <f>W124/W$152</f>
        <v>3.1559170403070449E-3</v>
      </c>
      <c r="Y124" s="20">
        <f t="shared" si="18"/>
        <v>4.3211231513029622E-2</v>
      </c>
      <c r="Z124" s="22">
        <f t="shared" si="19"/>
        <v>8.3266545985752199E-2</v>
      </c>
      <c r="AA124" s="24">
        <f t="shared" si="10"/>
        <v>6.6666666666666671E-3</v>
      </c>
      <c r="AB124" s="10">
        <f>Z124*AA124/2</f>
        <v>2.7755515328584069E-4</v>
      </c>
      <c r="AD124" t="s">
        <v>49</v>
      </c>
      <c r="AE124" s="3">
        <v>0.59282964176446129</v>
      </c>
      <c r="AF124" s="20">
        <f>AE124/AE$152</f>
        <v>3.3027063905759543E-3</v>
      </c>
      <c r="AG124" s="20">
        <f t="shared" si="17"/>
        <v>6.1740895382542911E-2</v>
      </c>
      <c r="AH124" s="22">
        <f t="shared" si="15"/>
        <v>0.12017908437450986</v>
      </c>
      <c r="AI124" s="24">
        <f t="shared" si="11"/>
        <v>6.6666666666666671E-3</v>
      </c>
      <c r="AJ124">
        <f>AH124*AI124/2</f>
        <v>4.005969479150329E-4</v>
      </c>
    </row>
    <row r="125" spans="1:36" x14ac:dyDescent="0.3">
      <c r="A125" t="s">
        <v>6</v>
      </c>
      <c r="B125" s="21">
        <v>509767195342.46063</v>
      </c>
      <c r="C125" s="22">
        <v>5.3726182216274872E-3</v>
      </c>
      <c r="D125" s="22">
        <f t="shared" si="12"/>
        <v>0.14287720223434691</v>
      </c>
      <c r="E125" s="22">
        <f t="shared" si="13"/>
        <v>0.28038178624706633</v>
      </c>
      <c r="F125" s="24">
        <f>1/150</f>
        <v>6.6666666666666671E-3</v>
      </c>
      <c r="G125">
        <f>E125*F125/2</f>
        <v>9.3460595415688786E-4</v>
      </c>
      <c r="M125" s="27" t="s">
        <v>13</v>
      </c>
      <c r="N125" s="3">
        <v>6.8134602181983146</v>
      </c>
      <c r="O125" s="20">
        <v>3.0819110754037758E-3</v>
      </c>
      <c r="P125" s="20">
        <f t="shared" si="14"/>
        <v>5.0824981865548971E-2</v>
      </c>
      <c r="Q125" s="22">
        <f t="shared" si="16"/>
        <v>9.8568052655694169E-2</v>
      </c>
      <c r="R125" s="24">
        <f>1/150</f>
        <v>6.6666666666666671E-3</v>
      </c>
      <c r="S125">
        <f>Q125*R125/2</f>
        <v>3.2856017551898057E-4</v>
      </c>
      <c r="V125" t="s">
        <v>39</v>
      </c>
      <c r="W125" s="3">
        <v>6.4372504625281994</v>
      </c>
      <c r="X125" s="20">
        <f>W125/W$152</f>
        <v>3.1690415780367379E-3</v>
      </c>
      <c r="Y125" s="20">
        <f t="shared" si="18"/>
        <v>4.6380273091066362E-2</v>
      </c>
      <c r="Z125" s="22">
        <f t="shared" si="19"/>
        <v>8.9591504604095984E-2</v>
      </c>
      <c r="AA125" s="24">
        <f t="shared" si="10"/>
        <v>6.6666666666666671E-3</v>
      </c>
      <c r="AB125" s="10">
        <f>Z125*AA125/2</f>
        <v>2.9863834868031996E-4</v>
      </c>
      <c r="AD125" t="s">
        <v>9</v>
      </c>
      <c r="AE125" s="3">
        <v>0.63403971694599992</v>
      </c>
      <c r="AF125" s="20">
        <f>AE125/AE$152</f>
        <v>3.5322913658701878E-3</v>
      </c>
      <c r="AG125" s="20">
        <f t="shared" si="17"/>
        <v>6.5273186748413092E-2</v>
      </c>
      <c r="AH125" s="22">
        <f t="shared" si="15"/>
        <v>0.127014082130956</v>
      </c>
      <c r="AI125" s="24">
        <f t="shared" si="11"/>
        <v>6.6666666666666671E-3</v>
      </c>
      <c r="AJ125">
        <f>AH125*AI125/2</f>
        <v>4.2338027376985336E-4</v>
      </c>
    </row>
    <row r="126" spans="1:36" x14ac:dyDescent="0.3">
      <c r="A126" t="s">
        <v>18</v>
      </c>
      <c r="B126" s="21">
        <v>534178915343.83661</v>
      </c>
      <c r="C126" s="22">
        <v>5.6299020423577545E-3</v>
      </c>
      <c r="D126" s="22">
        <f t="shared" si="12"/>
        <v>0.14850710427670466</v>
      </c>
      <c r="E126" s="22">
        <f t="shared" si="13"/>
        <v>0.29138430651105157</v>
      </c>
      <c r="F126" s="24">
        <f>1/150</f>
        <v>6.6666666666666671E-3</v>
      </c>
      <c r="G126">
        <f>E126*F126/2</f>
        <v>9.7128102170350526E-4</v>
      </c>
      <c r="M126" s="27" t="s">
        <v>57</v>
      </c>
      <c r="N126" s="3">
        <v>6.8821283505094897</v>
      </c>
      <c r="O126" s="20">
        <v>3.1129715161665847E-3</v>
      </c>
      <c r="P126" s="20">
        <f t="shared" si="14"/>
        <v>5.3937953381715559E-2</v>
      </c>
      <c r="Q126" s="22">
        <f t="shared" si="16"/>
        <v>0.10476293524726453</v>
      </c>
      <c r="R126" s="24">
        <f>1/150</f>
        <v>6.6666666666666671E-3</v>
      </c>
      <c r="S126">
        <f>Q126*R126/2</f>
        <v>3.4920978415754848E-4</v>
      </c>
      <c r="V126" t="s">
        <v>57</v>
      </c>
      <c r="W126" s="3">
        <v>6.6270278067345991</v>
      </c>
      <c r="X126" s="20">
        <f>W126/W$152</f>
        <v>3.2624684685795781E-3</v>
      </c>
      <c r="Y126" s="20">
        <f t="shared" si="18"/>
        <v>4.9642741559645938E-2</v>
      </c>
      <c r="Z126" s="22">
        <f t="shared" si="19"/>
        <v>9.6023014650712307E-2</v>
      </c>
      <c r="AA126" s="24">
        <f t="shared" si="10"/>
        <v>6.6666666666666671E-3</v>
      </c>
      <c r="AB126" s="10">
        <f>Z126*AA126/2</f>
        <v>3.2007671550237439E-4</v>
      </c>
      <c r="AD126" t="s">
        <v>7</v>
      </c>
      <c r="AE126" s="3">
        <v>0.75991773668553886</v>
      </c>
      <c r="AF126" s="20">
        <f>AE126/AE$152</f>
        <v>4.2335689521080218E-3</v>
      </c>
      <c r="AG126" s="20">
        <f t="shared" si="17"/>
        <v>6.9506755700521117E-2</v>
      </c>
      <c r="AH126" s="22">
        <f t="shared" si="15"/>
        <v>0.13477994244893421</v>
      </c>
      <c r="AI126" s="24">
        <f t="shared" si="11"/>
        <v>6.6666666666666671E-3</v>
      </c>
      <c r="AJ126">
        <f>AH126*AI126/2</f>
        <v>4.4926647482978072E-4</v>
      </c>
    </row>
    <row r="127" spans="1:36" x14ac:dyDescent="0.3">
      <c r="A127" t="s">
        <v>95</v>
      </c>
      <c r="B127" s="21">
        <v>534246745197.83569</v>
      </c>
      <c r="C127" s="22">
        <v>5.6306169253727764E-3</v>
      </c>
      <c r="D127" s="22">
        <f t="shared" si="12"/>
        <v>0.15413772120207744</v>
      </c>
      <c r="E127" s="22">
        <f t="shared" si="13"/>
        <v>0.30264482547878213</v>
      </c>
      <c r="F127" s="24">
        <f>1/150</f>
        <v>6.6666666666666671E-3</v>
      </c>
      <c r="G127">
        <f>E127*F127/2</f>
        <v>1.0088160849292737E-3</v>
      </c>
      <c r="M127" s="27" t="s">
        <v>47</v>
      </c>
      <c r="N127" s="3">
        <v>6.9115716315730964</v>
      </c>
      <c r="O127" s="20">
        <v>3.1262895030778151E-3</v>
      </c>
      <c r="P127" s="20">
        <f t="shared" si="14"/>
        <v>5.7064242884793372E-2</v>
      </c>
      <c r="Q127" s="22">
        <f t="shared" si="16"/>
        <v>0.11100219626650892</v>
      </c>
      <c r="R127" s="24">
        <f>1/150</f>
        <v>6.6666666666666671E-3</v>
      </c>
      <c r="S127">
        <f>Q127*R127/2</f>
        <v>3.7000732088836308E-4</v>
      </c>
      <c r="V127" t="s">
        <v>13</v>
      </c>
      <c r="W127" s="3">
        <v>6.707458488923403</v>
      </c>
      <c r="X127" s="20">
        <f>W127/W$152</f>
        <v>3.3020642832041454E-3</v>
      </c>
      <c r="Y127" s="20">
        <f t="shared" si="18"/>
        <v>5.2944805842850086E-2</v>
      </c>
      <c r="Z127" s="22">
        <f t="shared" si="19"/>
        <v>0.10258754740249602</v>
      </c>
      <c r="AA127" s="24">
        <f t="shared" si="10"/>
        <v>6.6666666666666671E-3</v>
      </c>
      <c r="AB127" s="10">
        <f>Z127*AA127/2</f>
        <v>3.4195849134165346E-4</v>
      </c>
      <c r="AD127" t="s">
        <v>97</v>
      </c>
      <c r="AE127" s="3">
        <v>0.76832581080231521</v>
      </c>
      <c r="AF127" s="20">
        <f>AE127/AE$152</f>
        <v>4.2804110769978339E-3</v>
      </c>
      <c r="AG127" s="20">
        <f t="shared" si="17"/>
        <v>7.3787166777518953E-2</v>
      </c>
      <c r="AH127" s="22">
        <f t="shared" si="15"/>
        <v>0.14329392247804007</v>
      </c>
      <c r="AI127" s="24">
        <f t="shared" si="11"/>
        <v>6.6666666666666671E-3</v>
      </c>
      <c r="AJ127">
        <f>AH127*AI127/2</f>
        <v>4.7764640826013357E-4</v>
      </c>
    </row>
    <row r="128" spans="1:36" x14ac:dyDescent="0.3">
      <c r="A128" t="s">
        <v>122</v>
      </c>
      <c r="B128" s="21">
        <v>540898072115.8811</v>
      </c>
      <c r="C128" s="22">
        <v>5.7007176311937649E-3</v>
      </c>
      <c r="D128" s="22">
        <f t="shared" si="12"/>
        <v>0.1598384388332712</v>
      </c>
      <c r="E128" s="22">
        <f t="shared" si="13"/>
        <v>0.31397616003534867</v>
      </c>
      <c r="F128" s="24">
        <f>1/150</f>
        <v>6.6666666666666671E-3</v>
      </c>
      <c r="G128">
        <f>E128*F128/2</f>
        <v>1.0465872001178291E-3</v>
      </c>
      <c r="M128" s="27" t="s">
        <v>53</v>
      </c>
      <c r="N128" s="3">
        <v>7.405516012588814</v>
      </c>
      <c r="O128" s="20">
        <v>3.349713814622169E-3</v>
      </c>
      <c r="P128" s="20">
        <f t="shared" si="14"/>
        <v>6.0413956699415544E-2</v>
      </c>
      <c r="Q128" s="22">
        <f t="shared" si="16"/>
        <v>0.11747819958420891</v>
      </c>
      <c r="R128" s="24">
        <f>1/150</f>
        <v>6.6666666666666671E-3</v>
      </c>
      <c r="S128">
        <f>Q128*R128/2</f>
        <v>3.9159399861402971E-4</v>
      </c>
      <c r="V128" t="s">
        <v>53</v>
      </c>
      <c r="W128" s="3">
        <v>7.0980860752575605</v>
      </c>
      <c r="X128" s="20">
        <f>W128/W$152</f>
        <v>3.4943692229959236E-3</v>
      </c>
      <c r="Y128" s="20">
        <f t="shared" si="18"/>
        <v>5.643917506584601E-2</v>
      </c>
      <c r="Z128" s="22">
        <f t="shared" si="19"/>
        <v>0.1093839809086961</v>
      </c>
      <c r="AA128" s="24">
        <f t="shared" si="10"/>
        <v>6.6666666666666671E-3</v>
      </c>
      <c r="AB128" s="10">
        <f>Z128*AA128/2</f>
        <v>3.6461326969565368E-4</v>
      </c>
      <c r="AD128" t="s">
        <v>17</v>
      </c>
      <c r="AE128" s="3">
        <v>0.77398043163984231</v>
      </c>
      <c r="AF128" s="20">
        <f>AE128/AE$152</f>
        <v>4.311913470030679E-3</v>
      </c>
      <c r="AG128" s="20">
        <f t="shared" si="17"/>
        <v>7.8099080247549635E-2</v>
      </c>
      <c r="AH128" s="22">
        <f t="shared" si="15"/>
        <v>0.15188624702506859</v>
      </c>
      <c r="AI128" s="24">
        <f t="shared" si="11"/>
        <v>6.6666666666666671E-3</v>
      </c>
      <c r="AJ128">
        <f>AH128*AI128/2</f>
        <v>5.0628749008356196E-4</v>
      </c>
    </row>
    <row r="129" spans="1:36" x14ac:dyDescent="0.3">
      <c r="A129" t="s">
        <v>19</v>
      </c>
      <c r="B129" s="21">
        <v>572983369203.27405</v>
      </c>
      <c r="C129" s="22">
        <v>6.0388760167333693E-3</v>
      </c>
      <c r="D129" s="22">
        <f t="shared" si="12"/>
        <v>0.16587731485000456</v>
      </c>
      <c r="E129" s="22">
        <f t="shared" si="13"/>
        <v>0.32571575368327577</v>
      </c>
      <c r="F129" s="24">
        <f>1/150</f>
        <v>6.6666666666666671E-3</v>
      </c>
      <c r="G129">
        <f>E129*F129/2</f>
        <v>1.0857191789442526E-3</v>
      </c>
      <c r="M129" s="27" t="s">
        <v>21</v>
      </c>
      <c r="N129" s="3">
        <v>8.3854900823330869</v>
      </c>
      <c r="O129" s="20">
        <v>3.7929824097901054E-3</v>
      </c>
      <c r="P129" s="20">
        <f t="shared" si="14"/>
        <v>6.4206939109205649E-2</v>
      </c>
      <c r="Q129" s="22">
        <f t="shared" si="16"/>
        <v>0.12462089580862119</v>
      </c>
      <c r="R129" s="24">
        <f>1/150</f>
        <v>6.6666666666666671E-3</v>
      </c>
      <c r="S129">
        <f>Q129*R129/2</f>
        <v>4.1540298602873733E-4</v>
      </c>
      <c r="V129" t="s">
        <v>21</v>
      </c>
      <c r="W129" s="3">
        <v>7.4217023198313994</v>
      </c>
      <c r="X129" s="20">
        <f>W129/W$152</f>
        <v>3.6536846543827302E-3</v>
      </c>
      <c r="Y129" s="20">
        <f t="shared" si="18"/>
        <v>6.0092859720228743E-2</v>
      </c>
      <c r="Z129" s="22">
        <f t="shared" si="19"/>
        <v>0.11653203478607475</v>
      </c>
      <c r="AA129" s="24">
        <f t="shared" si="10"/>
        <v>6.6666666666666671E-3</v>
      </c>
      <c r="AB129" s="10">
        <f>Z129*AA129/2</f>
        <v>3.8844011595358255E-4</v>
      </c>
      <c r="AD129" t="s">
        <v>42</v>
      </c>
      <c r="AE129" s="3">
        <v>0.83125181844927476</v>
      </c>
      <c r="AF129" s="20">
        <f>AE129/AE$152</f>
        <v>4.6309774335829808E-3</v>
      </c>
      <c r="AG129" s="20">
        <f t="shared" si="17"/>
        <v>8.2730057681132618E-2</v>
      </c>
      <c r="AH129" s="22">
        <f t="shared" si="15"/>
        <v>0.16082913792868225</v>
      </c>
      <c r="AI129" s="24">
        <f t="shared" si="11"/>
        <v>6.6666666666666671E-3</v>
      </c>
      <c r="AJ129">
        <f>AH129*AI129/2</f>
        <v>5.3609712642894091E-4</v>
      </c>
    </row>
    <row r="130" spans="1:36" x14ac:dyDescent="0.3">
      <c r="A130" t="s">
        <v>57</v>
      </c>
      <c r="B130" s="21">
        <v>583738758865.70459</v>
      </c>
      <c r="C130" s="22">
        <v>6.1522309030599773E-3</v>
      </c>
      <c r="D130" s="22">
        <f t="shared" si="12"/>
        <v>0.17202954575306453</v>
      </c>
      <c r="E130" s="22">
        <f t="shared" si="13"/>
        <v>0.33790686060306907</v>
      </c>
      <c r="F130" s="24">
        <f>1/150</f>
        <v>6.6666666666666671E-3</v>
      </c>
      <c r="G130">
        <f>E130*F130/2</f>
        <v>1.1263562020102304E-3</v>
      </c>
      <c r="M130" s="27" t="s">
        <v>15</v>
      </c>
      <c r="N130" s="3">
        <v>9.4725172669437434</v>
      </c>
      <c r="O130" s="20">
        <v>4.28467400440287E-3</v>
      </c>
      <c r="P130" s="20">
        <f t="shared" si="14"/>
        <v>6.8491613113608518E-2</v>
      </c>
      <c r="Q130" s="22">
        <f t="shared" si="16"/>
        <v>0.13269855222281418</v>
      </c>
      <c r="R130" s="24">
        <f>1/150</f>
        <v>6.6666666666666671E-3</v>
      </c>
      <c r="S130">
        <f>Q130*R130/2</f>
        <v>4.4232850740938065E-4</v>
      </c>
      <c r="V130" t="s">
        <v>15</v>
      </c>
      <c r="W130" s="3">
        <v>7.4828405680708032</v>
      </c>
      <c r="X130" s="20">
        <f>W130/W$152</f>
        <v>3.683782854197517E-3</v>
      </c>
      <c r="Y130" s="20">
        <f t="shared" si="18"/>
        <v>6.3776642574426265E-2</v>
      </c>
      <c r="Z130" s="22">
        <f t="shared" si="19"/>
        <v>0.12386950229465502</v>
      </c>
      <c r="AA130" s="24">
        <f t="shared" si="10"/>
        <v>6.6666666666666671E-3</v>
      </c>
      <c r="AB130" s="10">
        <f>Z130*AA130/2</f>
        <v>4.1289834098218344E-4</v>
      </c>
      <c r="AD130" t="s">
        <v>21</v>
      </c>
      <c r="AE130" s="3">
        <v>0.96378776250168763</v>
      </c>
      <c r="AF130" s="20">
        <f>AE130/AE$152</f>
        <v>5.3693469052917449E-3</v>
      </c>
      <c r="AG130" s="20">
        <f t="shared" si="17"/>
        <v>8.809940458642436E-2</v>
      </c>
      <c r="AH130" s="22">
        <f t="shared" si="15"/>
        <v>0.17082946226755696</v>
      </c>
      <c r="AI130" s="24">
        <f t="shared" si="11"/>
        <v>6.6666666666666671E-3</v>
      </c>
      <c r="AJ130">
        <f>AH130*AI130/2</f>
        <v>5.694315408918566E-4</v>
      </c>
    </row>
    <row r="131" spans="1:36" x14ac:dyDescent="0.3">
      <c r="A131" t="s">
        <v>49</v>
      </c>
      <c r="B131" s="21">
        <v>658084600079.5863</v>
      </c>
      <c r="C131" s="22">
        <v>6.9357882305172433E-3</v>
      </c>
      <c r="D131" s="22">
        <f t="shared" si="12"/>
        <v>0.17896533398358178</v>
      </c>
      <c r="E131" s="22">
        <f t="shared" si="13"/>
        <v>0.35099487973664634</v>
      </c>
      <c r="F131" s="24">
        <f>1/150</f>
        <v>6.6666666666666671E-3</v>
      </c>
      <c r="G131">
        <f>E131*F131/2</f>
        <v>1.1699829324554878E-3</v>
      </c>
      <c r="M131" s="27" t="s">
        <v>78</v>
      </c>
      <c r="N131" s="3">
        <v>11.112500445790953</v>
      </c>
      <c r="O131" s="20">
        <v>5.0264824483511371E-3</v>
      </c>
      <c r="P131" s="20">
        <f t="shared" si="14"/>
        <v>7.3518095561959651E-2</v>
      </c>
      <c r="Q131" s="22">
        <f t="shared" si="16"/>
        <v>0.14200970867556817</v>
      </c>
      <c r="R131" s="24">
        <f>1/150</f>
        <v>6.6666666666666671E-3</v>
      </c>
      <c r="S131">
        <f>Q131*R131/2</f>
        <v>4.7336569558522728E-4</v>
      </c>
      <c r="V131" t="s">
        <v>78</v>
      </c>
      <c r="W131" s="3">
        <v>9.0600148510367919</v>
      </c>
      <c r="X131" s="20">
        <f>W131/W$152</f>
        <v>4.4602216315332843E-3</v>
      </c>
      <c r="Y131" s="20">
        <f t="shared" si="18"/>
        <v>6.8236864205959549E-2</v>
      </c>
      <c r="Z131" s="22">
        <f t="shared" si="19"/>
        <v>0.13201350678038581</v>
      </c>
      <c r="AA131" s="24">
        <f t="shared" ref="AA131:AA151" si="20">1/150</f>
        <v>6.6666666666666671E-3</v>
      </c>
      <c r="AB131" s="10">
        <f>Z131*AA131/2</f>
        <v>4.400450226012861E-4</v>
      </c>
      <c r="AD131" t="s">
        <v>65</v>
      </c>
      <c r="AE131" s="3">
        <v>0.97616590372703627</v>
      </c>
      <c r="AF131" s="20">
        <f>AE131/AE$152</f>
        <v>5.438306625333296E-3</v>
      </c>
      <c r="AG131" s="20">
        <f t="shared" si="17"/>
        <v>9.3537711211757663E-2</v>
      </c>
      <c r="AH131" s="22">
        <f t="shared" si="15"/>
        <v>0.18163711579818204</v>
      </c>
      <c r="AI131" s="24">
        <f t="shared" ref="AI131:AI151" si="21">1/150</f>
        <v>6.6666666666666671E-3</v>
      </c>
      <c r="AJ131">
        <f>AH131*AI131/2</f>
        <v>6.0545705266060678E-4</v>
      </c>
    </row>
    <row r="132" spans="1:36" x14ac:dyDescent="0.3">
      <c r="A132" t="s">
        <v>7</v>
      </c>
      <c r="B132" s="21">
        <v>811109937475.13135</v>
      </c>
      <c r="C132" s="22">
        <v>8.5485768202374652E-3</v>
      </c>
      <c r="D132" s="22">
        <f t="shared" ref="D132:D151" si="22">C132+D131</f>
        <v>0.18751391080381924</v>
      </c>
      <c r="E132" s="22">
        <f t="shared" ref="E132:E151" si="23">D132+D131</f>
        <v>0.36647924478740102</v>
      </c>
      <c r="F132" s="24">
        <f>1/150</f>
        <v>6.6666666666666671E-3</v>
      </c>
      <c r="G132">
        <f>E132*F132/2</f>
        <v>1.2215974826246701E-3</v>
      </c>
      <c r="M132" s="27" t="s">
        <v>108</v>
      </c>
      <c r="N132" s="3">
        <v>14.926522092701004</v>
      </c>
      <c r="O132" s="20">
        <v>6.7516668890038297E-3</v>
      </c>
      <c r="P132" s="20">
        <f t="shared" ref="P132:P151" si="24">O132+P131</f>
        <v>8.0269762450963483E-2</v>
      </c>
      <c r="Q132" s="22">
        <f t="shared" si="16"/>
        <v>0.15378785801292313</v>
      </c>
      <c r="R132" s="24">
        <f>1/150</f>
        <v>6.6666666666666671E-3</v>
      </c>
      <c r="S132">
        <f>Q132*R132/2</f>
        <v>5.1262619337641045E-4</v>
      </c>
      <c r="V132" t="s">
        <v>108</v>
      </c>
      <c r="W132" s="3">
        <v>14.647727722782799</v>
      </c>
      <c r="X132" s="20">
        <f>W132/W$152</f>
        <v>7.2110380740147756E-3</v>
      </c>
      <c r="Y132" s="20">
        <f t="shared" si="18"/>
        <v>7.5447902279974319E-2</v>
      </c>
      <c r="Z132" s="22">
        <f t="shared" si="19"/>
        <v>0.14368476648593387</v>
      </c>
      <c r="AA132" s="24">
        <f t="shared" si="20"/>
        <v>6.6666666666666671E-3</v>
      </c>
      <c r="AB132" s="10">
        <f>Z132*AA132/2</f>
        <v>4.789492216197796E-4</v>
      </c>
      <c r="AD132" t="s">
        <v>18</v>
      </c>
      <c r="AE132" s="3">
        <v>1.2359054200065822</v>
      </c>
      <c r="AF132" s="20">
        <f>AE132/AE$152</f>
        <v>6.885338453479291E-3</v>
      </c>
      <c r="AG132" s="20">
        <f t="shared" si="17"/>
        <v>0.10042304966523695</v>
      </c>
      <c r="AH132" s="22">
        <f t="shared" ref="AH132:AH151" si="25">AG132+AG131</f>
        <v>0.1939607608769946</v>
      </c>
      <c r="AI132" s="24">
        <f t="shared" si="21"/>
        <v>6.6666666666666671E-3</v>
      </c>
      <c r="AJ132">
        <f>AH132*AI132/2</f>
        <v>6.46535869589982E-4</v>
      </c>
    </row>
    <row r="133" spans="1:36" x14ac:dyDescent="0.3">
      <c r="A133" t="s">
        <v>31</v>
      </c>
      <c r="B133" s="21">
        <v>881212616884.02368</v>
      </c>
      <c r="C133" s="22">
        <v>9.2874139525957015E-3</v>
      </c>
      <c r="D133" s="22">
        <f t="shared" si="22"/>
        <v>0.19680132475641493</v>
      </c>
      <c r="E133" s="22">
        <f t="shared" si="23"/>
        <v>0.38431523556023417</v>
      </c>
      <c r="F133" s="24">
        <f>1/150</f>
        <v>6.6666666666666671E-3</v>
      </c>
      <c r="G133">
        <f>E133*F133/2</f>
        <v>1.2810507852007806E-3</v>
      </c>
      <c r="M133" s="27" t="s">
        <v>25</v>
      </c>
      <c r="N133" s="3">
        <v>17.004517750020568</v>
      </c>
      <c r="O133" s="20">
        <v>7.6916001425698976E-3</v>
      </c>
      <c r="P133" s="20">
        <f t="shared" si="24"/>
        <v>8.7961362593533376E-2</v>
      </c>
      <c r="Q133" s="22">
        <f t="shared" ref="Q133:Q151" si="26">P133+P132</f>
        <v>0.16823112504449686</v>
      </c>
      <c r="R133" s="24">
        <f>1/150</f>
        <v>6.6666666666666671E-3</v>
      </c>
      <c r="S133">
        <f>Q133*R133/2</f>
        <v>5.6077041681498957E-4</v>
      </c>
      <c r="V133" t="s">
        <v>25</v>
      </c>
      <c r="W133" s="3">
        <v>16.937835737252403</v>
      </c>
      <c r="X133" s="20">
        <f>W133/W$152</f>
        <v>8.338452264016482E-3</v>
      </c>
      <c r="Y133" s="20">
        <f t="shared" si="18"/>
        <v>8.3786354543990804E-2</v>
      </c>
      <c r="Z133" s="22">
        <f t="shared" si="19"/>
        <v>0.15923425682396514</v>
      </c>
      <c r="AA133" s="24">
        <f t="shared" si="20"/>
        <v>6.6666666666666671E-3</v>
      </c>
      <c r="AB133" s="10">
        <f>Z133*AA133/2</f>
        <v>5.3078085607988386E-4</v>
      </c>
      <c r="AD133" t="s">
        <v>24</v>
      </c>
      <c r="AE133" s="3">
        <v>1.4021941411331051</v>
      </c>
      <c r="AF133" s="20">
        <f>AE133/AE$152</f>
        <v>7.8117476328696074E-3</v>
      </c>
      <c r="AG133" s="20">
        <f t="shared" ref="AG133:AG151" si="27">AF133+AG132</f>
        <v>0.10823479729810656</v>
      </c>
      <c r="AH133" s="22">
        <f t="shared" si="25"/>
        <v>0.2086578469633435</v>
      </c>
      <c r="AI133" s="24">
        <f t="shared" si="21"/>
        <v>6.6666666666666671E-3</v>
      </c>
      <c r="AJ133">
        <f>AH133*AI133/2</f>
        <v>6.9552615654447836E-4</v>
      </c>
    </row>
    <row r="134" spans="1:36" x14ac:dyDescent="0.3">
      <c r="A134" t="s">
        <v>15</v>
      </c>
      <c r="B134" s="21">
        <v>920880034447.74963</v>
      </c>
      <c r="C134" s="22">
        <v>9.7054830091276908E-3</v>
      </c>
      <c r="D134" s="22">
        <f t="shared" si="22"/>
        <v>0.20650680776554262</v>
      </c>
      <c r="E134" s="22">
        <f t="shared" si="23"/>
        <v>0.40330813252195752</v>
      </c>
      <c r="F134" s="24">
        <f>1/150</f>
        <v>6.6666666666666671E-3</v>
      </c>
      <c r="G134">
        <f>E134*F134/2</f>
        <v>1.3443604417398584E-3</v>
      </c>
      <c r="M134" s="27" t="s">
        <v>94</v>
      </c>
      <c r="N134" s="3">
        <v>20.600240304990276</v>
      </c>
      <c r="O134" s="20">
        <v>9.3180420401305242E-3</v>
      </c>
      <c r="P134" s="20">
        <f t="shared" si="24"/>
        <v>9.7279404633663899E-2</v>
      </c>
      <c r="Q134" s="22">
        <f t="shared" si="26"/>
        <v>0.18524076722719729</v>
      </c>
      <c r="R134" s="24">
        <f>1/150</f>
        <v>6.6666666666666671E-3</v>
      </c>
      <c r="S134">
        <f>Q134*R134/2</f>
        <v>6.1746922409065764E-4</v>
      </c>
      <c r="V134" t="s">
        <v>86</v>
      </c>
      <c r="W134" s="3">
        <v>18.397800745465794</v>
      </c>
      <c r="X134" s="20">
        <f>W134/W$152</f>
        <v>9.0571892217345858E-3</v>
      </c>
      <c r="Y134" s="20">
        <f t="shared" si="18"/>
        <v>9.2843543765725386E-2</v>
      </c>
      <c r="Z134" s="22">
        <f t="shared" si="19"/>
        <v>0.1766298983097162</v>
      </c>
      <c r="AA134" s="24">
        <f t="shared" si="20"/>
        <v>6.6666666666666671E-3</v>
      </c>
      <c r="AB134" s="10">
        <f>Z134*AA134/2</f>
        <v>5.887663276990541E-4</v>
      </c>
      <c r="AD134" t="s">
        <v>98</v>
      </c>
      <c r="AE134" s="3">
        <v>1.5155046221288906</v>
      </c>
      <c r="AF134" s="20">
        <f>AE134/AE$152</f>
        <v>8.4430103487320891E-3</v>
      </c>
      <c r="AG134" s="20">
        <f t="shared" si="27"/>
        <v>0.11667780764683865</v>
      </c>
      <c r="AH134" s="22">
        <f t="shared" si="25"/>
        <v>0.22491260494494519</v>
      </c>
      <c r="AI134" s="24">
        <f t="shared" si="21"/>
        <v>6.6666666666666671E-3</v>
      </c>
      <c r="AJ134">
        <f>AH134*AI134/2</f>
        <v>7.4970868314981739E-4</v>
      </c>
    </row>
    <row r="135" spans="1:36" x14ac:dyDescent="0.3">
      <c r="A135" t="s">
        <v>96</v>
      </c>
      <c r="B135" s="21">
        <v>1238236350136.5586</v>
      </c>
      <c r="C135" s="22">
        <v>1.3050214368847339E-2</v>
      </c>
      <c r="D135" s="22">
        <f t="shared" si="22"/>
        <v>0.21955702213438996</v>
      </c>
      <c r="E135" s="22">
        <f t="shared" si="23"/>
        <v>0.42606382989993258</v>
      </c>
      <c r="F135" s="24">
        <f>1/150</f>
        <v>6.6666666666666671E-3</v>
      </c>
      <c r="G135">
        <f>E135*F135/2</f>
        <v>1.4202127663331086E-3</v>
      </c>
      <c r="M135" s="27" t="s">
        <v>32</v>
      </c>
      <c r="N135" s="3">
        <v>20.873070754191637</v>
      </c>
      <c r="O135" s="20">
        <v>9.4414505808974071E-3</v>
      </c>
      <c r="P135" s="20">
        <f t="shared" si="24"/>
        <v>0.1067208552145613</v>
      </c>
      <c r="Q135" s="22">
        <f t="shared" si="26"/>
        <v>0.2040002598482252</v>
      </c>
      <c r="R135" s="24">
        <f>1/150</f>
        <v>6.6666666666666671E-3</v>
      </c>
      <c r="S135">
        <f>Q135*R135/2</f>
        <v>6.800008661607507E-4</v>
      </c>
      <c r="V135" t="s">
        <v>32</v>
      </c>
      <c r="W135" s="3">
        <v>18.401041712010869</v>
      </c>
      <c r="X135" s="20">
        <f>W135/W$152</f>
        <v>9.0587847410940024E-3</v>
      </c>
      <c r="Y135" s="20">
        <f t="shared" ref="Y135:Y151" si="28">X135+Y134</f>
        <v>0.10190232850681939</v>
      </c>
      <c r="Z135" s="22">
        <f t="shared" ref="Z135:Z151" si="29">Y135+Y134</f>
        <v>0.19474587227254478</v>
      </c>
      <c r="AA135" s="24">
        <f t="shared" si="20"/>
        <v>6.6666666666666671E-3</v>
      </c>
      <c r="AB135" s="10">
        <f>Z135*AA135/2</f>
        <v>6.4915290757514932E-4</v>
      </c>
      <c r="AD135" t="s">
        <v>15</v>
      </c>
      <c r="AE135" s="3">
        <v>1.9896766988729395</v>
      </c>
      <c r="AF135" s="20">
        <f>AE135/AE$152</f>
        <v>1.1084664945209662E-2</v>
      </c>
      <c r="AG135" s="20">
        <f t="shared" si="27"/>
        <v>0.12776247259204832</v>
      </c>
      <c r="AH135" s="22">
        <f t="shared" si="25"/>
        <v>0.24444028023888698</v>
      </c>
      <c r="AI135" s="24">
        <f t="shared" si="21"/>
        <v>6.6666666666666671E-3</v>
      </c>
      <c r="AJ135">
        <f>AH135*AI135/2</f>
        <v>8.1480093412962334E-4</v>
      </c>
    </row>
    <row r="136" spans="1:36" x14ac:dyDescent="0.3">
      <c r="A136" t="s">
        <v>60</v>
      </c>
      <c r="B136" s="21">
        <v>1316562171166.7805</v>
      </c>
      <c r="C136" s="22">
        <v>1.3875718122591637E-2</v>
      </c>
      <c r="D136" s="22">
        <f t="shared" si="22"/>
        <v>0.2334327402569816</v>
      </c>
      <c r="E136" s="22">
        <f t="shared" si="23"/>
        <v>0.45298976239137156</v>
      </c>
      <c r="F136" s="24">
        <f>1/150</f>
        <v>6.6666666666666671E-3</v>
      </c>
      <c r="G136">
        <f>E136*F136/2</f>
        <v>1.5099658746379053E-3</v>
      </c>
      <c r="M136" s="27" t="s">
        <v>86</v>
      </c>
      <c r="N136" s="3">
        <v>21.636728269835285</v>
      </c>
      <c r="O136" s="20">
        <v>9.7868733880918154E-3</v>
      </c>
      <c r="P136" s="20">
        <f t="shared" si="24"/>
        <v>0.11650772860265311</v>
      </c>
      <c r="Q136" s="22">
        <f t="shared" si="26"/>
        <v>0.22322858381721442</v>
      </c>
      <c r="R136" s="24">
        <f>1/150</f>
        <v>6.6666666666666671E-3</v>
      </c>
      <c r="S136">
        <f>Q136*R136/2</f>
        <v>7.4409527939071473E-4</v>
      </c>
      <c r="V136" t="s">
        <v>94</v>
      </c>
      <c r="W136" s="3">
        <v>20.430164540879417</v>
      </c>
      <c r="X136" s="20">
        <f>W136/W$152</f>
        <v>1.0057716606346058E-2</v>
      </c>
      <c r="Y136" s="20">
        <f t="shared" si="28"/>
        <v>0.11196004511316546</v>
      </c>
      <c r="Z136" s="22">
        <f t="shared" si="29"/>
        <v>0.21386237361998484</v>
      </c>
      <c r="AA136" s="24">
        <f t="shared" si="20"/>
        <v>6.6666666666666671E-3</v>
      </c>
      <c r="AB136" s="10">
        <f>Z136*AA136/2</f>
        <v>7.1287457873328282E-4</v>
      </c>
      <c r="AD136" t="s">
        <v>59</v>
      </c>
      <c r="AE136" s="3">
        <v>2.0186947649389086</v>
      </c>
      <c r="AF136" s="20">
        <f>AE136/AE$152</f>
        <v>1.1246327158915752E-2</v>
      </c>
      <c r="AG136" s="20">
        <f t="shared" si="27"/>
        <v>0.13900879975096406</v>
      </c>
      <c r="AH136" s="22">
        <f t="shared" si="25"/>
        <v>0.26677127234301234</v>
      </c>
      <c r="AI136" s="24">
        <f t="shared" si="21"/>
        <v>6.6666666666666671E-3</v>
      </c>
      <c r="AJ136">
        <f>AH136*AI136/2</f>
        <v>8.8923757447670782E-4</v>
      </c>
    </row>
    <row r="137" spans="1:36" x14ac:dyDescent="0.3">
      <c r="A137" t="s">
        <v>59</v>
      </c>
      <c r="B137" s="21">
        <v>1350022500028.8057</v>
      </c>
      <c r="C137" s="22">
        <v>1.4228368458251222E-2</v>
      </c>
      <c r="D137" s="22">
        <f t="shared" si="22"/>
        <v>0.24766110871523284</v>
      </c>
      <c r="E137" s="22">
        <f t="shared" si="23"/>
        <v>0.48109384897221441</v>
      </c>
      <c r="F137" s="24">
        <f>1/150</f>
        <v>6.6666666666666671E-3</v>
      </c>
      <c r="G137">
        <f>E137*F137/2</f>
        <v>1.6036461632407148E-3</v>
      </c>
      <c r="M137" s="27" t="s">
        <v>98</v>
      </c>
      <c r="N137" s="3">
        <v>23.329095533678885</v>
      </c>
      <c r="O137" s="20">
        <v>1.0552376560790984E-2</v>
      </c>
      <c r="P137" s="20">
        <f t="shared" si="24"/>
        <v>0.1270601051634441</v>
      </c>
      <c r="Q137" s="22">
        <f t="shared" si="26"/>
        <v>0.2435678337660972</v>
      </c>
      <c r="R137" s="24">
        <f>1/150</f>
        <v>6.6666666666666671E-3</v>
      </c>
      <c r="S137">
        <f>Q137*R137/2</f>
        <v>8.1189277922032405E-4</v>
      </c>
      <c r="V137" t="s">
        <v>27</v>
      </c>
      <c r="W137" s="3">
        <v>21.708703000284601</v>
      </c>
      <c r="X137" s="20">
        <f>W137/W$152</f>
        <v>1.0687137748269866E-2</v>
      </c>
      <c r="Y137" s="20">
        <f t="shared" si="28"/>
        <v>0.12264718286143532</v>
      </c>
      <c r="Z137" s="22">
        <f t="shared" si="29"/>
        <v>0.23460722797460076</v>
      </c>
      <c r="AA137" s="24">
        <f t="shared" si="20"/>
        <v>6.6666666666666671E-3</v>
      </c>
      <c r="AB137" s="10">
        <f>Z137*AA137/2</f>
        <v>7.8202409324866929E-4</v>
      </c>
      <c r="AD137" t="s">
        <v>78</v>
      </c>
      <c r="AE137" s="3">
        <v>2.0524855947541623</v>
      </c>
      <c r="AF137" s="20">
        <f>AE137/AE$152</f>
        <v>1.1434578861785298E-2</v>
      </c>
      <c r="AG137" s="20">
        <f t="shared" si="27"/>
        <v>0.15044337861274937</v>
      </c>
      <c r="AH137" s="22">
        <f t="shared" si="25"/>
        <v>0.2894521783637134</v>
      </c>
      <c r="AI137" s="24">
        <f t="shared" si="21"/>
        <v>6.6666666666666671E-3</v>
      </c>
      <c r="AJ137">
        <f>AH137*AI137/2</f>
        <v>9.6484059454571139E-4</v>
      </c>
    </row>
    <row r="138" spans="1:36" x14ac:dyDescent="0.3">
      <c r="A138" t="s">
        <v>36</v>
      </c>
      <c r="B138" s="21">
        <v>1428595035672.3743</v>
      </c>
      <c r="C138" s="22">
        <v>1.5056472425268008E-2</v>
      </c>
      <c r="D138" s="22">
        <f t="shared" si="22"/>
        <v>0.26271758114050087</v>
      </c>
      <c r="E138" s="22">
        <f t="shared" si="23"/>
        <v>0.51037868985573365</v>
      </c>
      <c r="F138" s="24">
        <f>1/150</f>
        <v>6.6666666666666671E-3</v>
      </c>
      <c r="G138">
        <f>E138*F138/2</f>
        <v>1.7012622995191122E-3</v>
      </c>
      <c r="M138" s="27" t="s">
        <v>27</v>
      </c>
      <c r="N138" s="3">
        <v>24.243694948353728</v>
      </c>
      <c r="O138" s="20">
        <v>1.0966074443419785E-2</v>
      </c>
      <c r="P138" s="20">
        <f t="shared" si="24"/>
        <v>0.13802617960686389</v>
      </c>
      <c r="Q138" s="22">
        <f t="shared" si="26"/>
        <v>0.26508628477030799</v>
      </c>
      <c r="R138" s="24">
        <f>1/150</f>
        <v>6.6666666666666671E-3</v>
      </c>
      <c r="S138">
        <f>Q138*R138/2</f>
        <v>8.8362094923436006E-4</v>
      </c>
      <c r="V138" t="s">
        <v>98</v>
      </c>
      <c r="W138" s="3">
        <v>21.813590911549994</v>
      </c>
      <c r="X138" s="20">
        <f>W138/W$152</f>
        <v>1.0738773792846407E-2</v>
      </c>
      <c r="Y138" s="20">
        <f t="shared" si="28"/>
        <v>0.13338595665428171</v>
      </c>
      <c r="Z138" s="22">
        <f t="shared" si="29"/>
        <v>0.25603313951571705</v>
      </c>
      <c r="AA138" s="24">
        <f t="shared" si="20"/>
        <v>6.6666666666666671E-3</v>
      </c>
      <c r="AB138" s="10">
        <f>Z138*AA138/2</f>
        <v>8.5344379838572359E-4</v>
      </c>
      <c r="AD138" t="s">
        <v>32</v>
      </c>
      <c r="AE138" s="3">
        <v>2.4720290421807696</v>
      </c>
      <c r="AF138" s="20">
        <f>AE138/AE$152</f>
        <v>1.3771892530541846E-2</v>
      </c>
      <c r="AG138" s="20">
        <f t="shared" si="27"/>
        <v>0.16421527114329121</v>
      </c>
      <c r="AH138" s="22">
        <f t="shared" si="25"/>
        <v>0.31465864975604058</v>
      </c>
      <c r="AI138" s="24">
        <f t="shared" si="21"/>
        <v>6.6666666666666671E-3</v>
      </c>
      <c r="AJ138">
        <f>AH138*AI138/2</f>
        <v>1.0488621658534686E-3</v>
      </c>
    </row>
    <row r="139" spans="1:36" x14ac:dyDescent="0.3">
      <c r="A139" t="s">
        <v>58</v>
      </c>
      <c r="B139" s="21">
        <v>1612344875264.3628</v>
      </c>
      <c r="C139" s="22">
        <v>1.6993077498000934E-2</v>
      </c>
      <c r="D139" s="22">
        <f t="shared" si="22"/>
        <v>0.27971065863850181</v>
      </c>
      <c r="E139" s="22">
        <f t="shared" si="23"/>
        <v>0.54242823977900267</v>
      </c>
      <c r="F139" s="24">
        <f>1/150</f>
        <v>6.6666666666666671E-3</v>
      </c>
      <c r="G139">
        <f>E139*F139/2</f>
        <v>1.8080941325966757E-3</v>
      </c>
      <c r="M139" s="27" t="s">
        <v>24</v>
      </c>
      <c r="N139" s="3">
        <v>30.442471937034309</v>
      </c>
      <c r="O139" s="20">
        <v>1.3769947782893754E-2</v>
      </c>
      <c r="P139" s="20">
        <f t="shared" si="24"/>
        <v>0.15179612738975765</v>
      </c>
      <c r="Q139" s="22">
        <f t="shared" si="26"/>
        <v>0.28982230699662154</v>
      </c>
      <c r="R139" s="24">
        <f>1/150</f>
        <v>6.6666666666666671E-3</v>
      </c>
      <c r="S139">
        <f>Q139*R139/2</f>
        <v>9.6607435665540522E-4</v>
      </c>
      <c r="V139" t="s">
        <v>29</v>
      </c>
      <c r="W139" s="3">
        <v>24.598890634245009</v>
      </c>
      <c r="X139" s="20">
        <f>W139/W$152</f>
        <v>1.2109969566553811E-2</v>
      </c>
      <c r="Y139" s="20">
        <f t="shared" si="28"/>
        <v>0.14549592622083551</v>
      </c>
      <c r="Z139" s="22">
        <f t="shared" si="29"/>
        <v>0.27888188287511723</v>
      </c>
      <c r="AA139" s="24">
        <f t="shared" si="20"/>
        <v>6.6666666666666671E-3</v>
      </c>
      <c r="AB139" s="10">
        <f>Z139*AA139/2</f>
        <v>9.2960627625039087E-4</v>
      </c>
      <c r="AD139" t="s">
        <v>133</v>
      </c>
      <c r="AE139" s="3">
        <v>2.4914268824376844</v>
      </c>
      <c r="AF139" s="20">
        <f>AE139/AE$152</f>
        <v>1.3879959615023661E-2</v>
      </c>
      <c r="AG139" s="20">
        <f t="shared" si="27"/>
        <v>0.17809523075831488</v>
      </c>
      <c r="AH139" s="22">
        <f t="shared" si="25"/>
        <v>0.34231050190160606</v>
      </c>
      <c r="AI139" s="24">
        <f t="shared" si="21"/>
        <v>6.6666666666666671E-3</v>
      </c>
      <c r="AJ139">
        <f>AH139*AI139/2</f>
        <v>1.1410350063386868E-3</v>
      </c>
    </row>
    <row r="140" spans="1:36" x14ac:dyDescent="0.3">
      <c r="A140" t="s">
        <v>14</v>
      </c>
      <c r="B140" s="21">
        <v>1672078242948.2178</v>
      </c>
      <c r="C140" s="22">
        <v>1.7622628757065096E-2</v>
      </c>
      <c r="D140" s="22">
        <f t="shared" si="22"/>
        <v>0.29733328739556691</v>
      </c>
      <c r="E140" s="22">
        <f t="shared" si="23"/>
        <v>0.57704394603406872</v>
      </c>
      <c r="F140" s="24">
        <f>1/150</f>
        <v>6.6666666666666671E-3</v>
      </c>
      <c r="G140">
        <f>E140*F140/2</f>
        <v>1.9234798201135626E-3</v>
      </c>
      <c r="M140" s="27" t="s">
        <v>29</v>
      </c>
      <c r="N140" s="3">
        <v>32.331078073813913</v>
      </c>
      <c r="O140" s="20">
        <v>1.462421506906215E-2</v>
      </c>
      <c r="P140" s="20">
        <f t="shared" si="24"/>
        <v>0.16642034245881979</v>
      </c>
      <c r="Q140" s="22">
        <f t="shared" si="26"/>
        <v>0.31821646984857743</v>
      </c>
      <c r="R140" s="24">
        <f>1/150</f>
        <v>6.6666666666666671E-3</v>
      </c>
      <c r="S140">
        <f>Q140*R140/2</f>
        <v>1.0607215661619248E-3</v>
      </c>
      <c r="V140" t="s">
        <v>24</v>
      </c>
      <c r="W140" s="3">
        <v>29.040277795901204</v>
      </c>
      <c r="X140" s="20">
        <f>W140/W$152</f>
        <v>1.4296452858042702E-2</v>
      </c>
      <c r="Y140" s="20">
        <f t="shared" si="28"/>
        <v>0.15979237907887822</v>
      </c>
      <c r="Z140" s="22">
        <f t="shared" si="29"/>
        <v>0.30528830529971374</v>
      </c>
      <c r="AA140" s="24">
        <f t="shared" si="20"/>
        <v>6.6666666666666671E-3</v>
      </c>
      <c r="AB140" s="10">
        <f>Z140*AA140/2</f>
        <v>1.0176276843323793E-3</v>
      </c>
      <c r="AD140" t="s">
        <v>27</v>
      </c>
      <c r="AE140" s="3">
        <v>2.5349919480691252</v>
      </c>
      <c r="AF140" s="20">
        <f>AE140/AE$152</f>
        <v>1.4122664450494737E-2</v>
      </c>
      <c r="AG140" s="20">
        <f t="shared" si="27"/>
        <v>0.19221789520880961</v>
      </c>
      <c r="AH140" s="22">
        <f t="shared" si="25"/>
        <v>0.37031312596712451</v>
      </c>
      <c r="AI140" s="24">
        <f t="shared" si="21"/>
        <v>6.6666666666666671E-3</v>
      </c>
      <c r="AJ140">
        <f>AH140*AI140/2</f>
        <v>1.2343770865570819E-3</v>
      </c>
    </row>
    <row r="141" spans="1:36" x14ac:dyDescent="0.3">
      <c r="A141" t="s">
        <v>21</v>
      </c>
      <c r="B141" s="21">
        <v>1833766996134.793</v>
      </c>
      <c r="C141" s="22">
        <v>1.9326724174619059E-2</v>
      </c>
      <c r="D141" s="22">
        <f t="shared" si="22"/>
        <v>0.31666001157018597</v>
      </c>
      <c r="E141" s="22">
        <f t="shared" si="23"/>
        <v>0.61399329896575283</v>
      </c>
      <c r="F141" s="24">
        <f>1/150</f>
        <v>6.6666666666666671E-3</v>
      </c>
      <c r="G141">
        <f>E141*F141/2</f>
        <v>2.0466443298858428E-3</v>
      </c>
      <c r="M141" s="27" t="s">
        <v>60</v>
      </c>
      <c r="N141" s="3">
        <v>34.060379121353314</v>
      </c>
      <c r="O141" s="20">
        <v>1.5406424384218072E-2</v>
      </c>
      <c r="P141" s="20">
        <f t="shared" si="24"/>
        <v>0.18182676684303786</v>
      </c>
      <c r="Q141" s="22">
        <f t="shared" si="26"/>
        <v>0.34824710930185765</v>
      </c>
      <c r="R141" s="24">
        <f>1/150</f>
        <v>6.6666666666666671E-3</v>
      </c>
      <c r="S141">
        <f>Q141*R141/2</f>
        <v>1.160823697672859E-3</v>
      </c>
      <c r="V141" t="s">
        <v>67</v>
      </c>
      <c r="W141" s="3">
        <v>29.302703599576372</v>
      </c>
      <c r="X141" s="20">
        <f>W141/W$152</f>
        <v>1.4425644395304978E-2</v>
      </c>
      <c r="Y141" s="20">
        <f t="shared" si="28"/>
        <v>0.17421802347418319</v>
      </c>
      <c r="Z141" s="22">
        <f t="shared" si="29"/>
        <v>0.33401040255306141</v>
      </c>
      <c r="AA141" s="24">
        <f t="shared" si="20"/>
        <v>6.6666666666666671E-3</v>
      </c>
      <c r="AB141" s="10">
        <f>Z141*AA141/2</f>
        <v>1.1133680085102047E-3</v>
      </c>
      <c r="AD141" t="s">
        <v>60</v>
      </c>
      <c r="AE141" s="3">
        <v>2.949632521503192</v>
      </c>
      <c r="AF141" s="20">
        <f>AE141/AE$152</f>
        <v>1.6432663774409894E-2</v>
      </c>
      <c r="AG141" s="20">
        <f t="shared" si="27"/>
        <v>0.20865055898321949</v>
      </c>
      <c r="AH141" s="22">
        <f t="shared" si="25"/>
        <v>0.4008684541920291</v>
      </c>
      <c r="AI141" s="24">
        <f t="shared" si="21"/>
        <v>6.6666666666666671E-3</v>
      </c>
      <c r="AJ141">
        <f>AH141*AI141/2</f>
        <v>1.3362281806400971E-3</v>
      </c>
    </row>
    <row r="142" spans="1:36" x14ac:dyDescent="0.3">
      <c r="A142" t="s">
        <v>32</v>
      </c>
      <c r="B142" s="21">
        <v>1917295522781.8574</v>
      </c>
      <c r="C142" s="22">
        <v>2.0207061097806584E-2</v>
      </c>
      <c r="D142" s="22">
        <f t="shared" si="22"/>
        <v>0.33686707266799254</v>
      </c>
      <c r="E142" s="22">
        <f t="shared" si="23"/>
        <v>0.65352708423817851</v>
      </c>
      <c r="F142" s="24">
        <f>1/150</f>
        <v>6.6666666666666671E-3</v>
      </c>
      <c r="G142">
        <f>E142*F142/2</f>
        <v>2.1784236141272617E-3</v>
      </c>
      <c r="M142" s="27" t="s">
        <v>54</v>
      </c>
      <c r="N142" s="3">
        <v>35.241576103288203</v>
      </c>
      <c r="O142" s="20">
        <v>1.59407115076881E-2</v>
      </c>
      <c r="P142" s="20">
        <f t="shared" si="24"/>
        <v>0.19776747835072597</v>
      </c>
      <c r="Q142" s="22">
        <f t="shared" si="26"/>
        <v>0.37959424519376384</v>
      </c>
      <c r="R142" s="24">
        <f>1/150</f>
        <v>6.6666666666666671E-3</v>
      </c>
      <c r="S142">
        <f>Q142*R142/2</f>
        <v>1.2653141506458795E-3</v>
      </c>
      <c r="V142" t="s">
        <v>60</v>
      </c>
      <c r="W142" s="3">
        <v>31.11074659985012</v>
      </c>
      <c r="X142" s="20">
        <f>W142/W$152</f>
        <v>1.5315739238763261E-2</v>
      </c>
      <c r="Y142" s="20">
        <f t="shared" si="28"/>
        <v>0.18953376271294645</v>
      </c>
      <c r="Z142" s="22">
        <f t="shared" si="29"/>
        <v>0.36375178618712967</v>
      </c>
      <c r="AA142" s="24">
        <f t="shared" si="20"/>
        <v>6.6666666666666671E-3</v>
      </c>
      <c r="AB142" s="10">
        <f>Z142*AA142/2</f>
        <v>1.2125059539570989E-3</v>
      </c>
      <c r="AD142" t="s">
        <v>86</v>
      </c>
      <c r="AE142" s="3">
        <v>3.2389275243694899</v>
      </c>
      <c r="AF142" s="20">
        <f>AE142/AE$152</f>
        <v>1.8044351833536712E-2</v>
      </c>
      <c r="AG142" s="20">
        <f t="shared" si="27"/>
        <v>0.22669491081675619</v>
      </c>
      <c r="AH142" s="22">
        <f t="shared" si="25"/>
        <v>0.43534546979997568</v>
      </c>
      <c r="AI142" s="24">
        <f t="shared" si="21"/>
        <v>6.6666666666666671E-3</v>
      </c>
      <c r="AJ142">
        <f>AH142*AI142/2</f>
        <v>1.4511515659999189E-3</v>
      </c>
    </row>
    <row r="143" spans="1:36" x14ac:dyDescent="0.3">
      <c r="A143" t="s">
        <v>67</v>
      </c>
      <c r="B143" s="21">
        <v>2028136094548.3352</v>
      </c>
      <c r="C143" s="22">
        <v>2.1375249402211166E-2</v>
      </c>
      <c r="D143" s="22">
        <f t="shared" si="22"/>
        <v>0.35824232207020368</v>
      </c>
      <c r="E143" s="22">
        <f t="shared" si="23"/>
        <v>0.69510939473819622</v>
      </c>
      <c r="F143" s="24">
        <f>1/150</f>
        <v>6.6666666666666671E-3</v>
      </c>
      <c r="G143">
        <f>E143*F143/2</f>
        <v>2.3170313157939875E-3</v>
      </c>
      <c r="M143" s="27" t="s">
        <v>67</v>
      </c>
      <c r="N143" s="3">
        <v>35.29923996686265</v>
      </c>
      <c r="O143" s="20">
        <v>1.5966794422111817E-2</v>
      </c>
      <c r="P143" s="20">
        <f t="shared" si="24"/>
        <v>0.2137342727728378</v>
      </c>
      <c r="Q143" s="22">
        <f t="shared" si="26"/>
        <v>0.4115017511235638</v>
      </c>
      <c r="R143" s="24">
        <f>1/150</f>
        <v>6.6666666666666671E-3</v>
      </c>
      <c r="S143">
        <f>Q143*R143/2</f>
        <v>1.3716725037452126E-3</v>
      </c>
      <c r="V143" t="s">
        <v>54</v>
      </c>
      <c r="W143" s="3">
        <v>35.121875721631589</v>
      </c>
      <c r="X143" s="20">
        <f>W143/W$152</f>
        <v>1.729040762176216E-2</v>
      </c>
      <c r="Y143" s="20">
        <f t="shared" si="28"/>
        <v>0.2068241703347086</v>
      </c>
      <c r="Z143" s="22">
        <f t="shared" si="29"/>
        <v>0.39635793304765504</v>
      </c>
      <c r="AA143" s="24">
        <f t="shared" si="20"/>
        <v>6.6666666666666671E-3</v>
      </c>
      <c r="AB143" s="10">
        <f>Z143*AA143/2</f>
        <v>1.3211931101588502E-3</v>
      </c>
      <c r="AD143" t="s">
        <v>36</v>
      </c>
      <c r="AE143" s="3">
        <v>3.7179180497935693</v>
      </c>
      <c r="AF143" s="20">
        <f>AE143/AE$152</f>
        <v>2.0712850433969341E-2</v>
      </c>
      <c r="AG143" s="20">
        <f t="shared" si="27"/>
        <v>0.24740776125072553</v>
      </c>
      <c r="AH143" s="22">
        <f t="shared" si="25"/>
        <v>0.47410267206748169</v>
      </c>
      <c r="AI143" s="24">
        <f t="shared" si="21"/>
        <v>6.6666666666666671E-3</v>
      </c>
      <c r="AJ143">
        <f>AH143*AI143/2</f>
        <v>1.5803422402249391E-3</v>
      </c>
    </row>
    <row r="144" spans="1:36" x14ac:dyDescent="0.3">
      <c r="A144" t="s">
        <v>29</v>
      </c>
      <c r="B144" s="21">
        <v>2033588532657.241</v>
      </c>
      <c r="C144" s="22">
        <v>2.1432714591426653E-2</v>
      </c>
      <c r="D144" s="22">
        <f t="shared" si="22"/>
        <v>0.37967503666163033</v>
      </c>
      <c r="E144" s="22">
        <f t="shared" si="23"/>
        <v>0.73791735873183395</v>
      </c>
      <c r="F144" s="24">
        <f>1/150</f>
        <v>6.6666666666666671E-3</v>
      </c>
      <c r="G144">
        <f>E144*F144/2</f>
        <v>2.4597245291061135E-3</v>
      </c>
      <c r="M144" s="27" t="s">
        <v>59</v>
      </c>
      <c r="N144" s="3">
        <v>42.852192773238855</v>
      </c>
      <c r="O144" s="20">
        <v>1.938319785891476E-2</v>
      </c>
      <c r="P144" s="20">
        <f t="shared" si="24"/>
        <v>0.23311747063175256</v>
      </c>
      <c r="Q144" s="22">
        <f t="shared" si="26"/>
        <v>0.44685174340459033</v>
      </c>
      <c r="R144" s="24">
        <f>1/150</f>
        <v>6.6666666666666671E-3</v>
      </c>
      <c r="S144">
        <f>Q144*R144/2</f>
        <v>1.4895058113486345E-3</v>
      </c>
      <c r="V144" t="s">
        <v>14</v>
      </c>
      <c r="W144" s="3">
        <v>38.677338154021413</v>
      </c>
      <c r="X144" s="20">
        <f>W144/W$152</f>
        <v>1.9040752484522985E-2</v>
      </c>
      <c r="Y144" s="20">
        <f t="shared" si="28"/>
        <v>0.22586492281923159</v>
      </c>
      <c r="Z144" s="22">
        <f t="shared" si="29"/>
        <v>0.43268909315394022</v>
      </c>
      <c r="AA144" s="24">
        <f t="shared" si="20"/>
        <v>6.6666666666666671E-3</v>
      </c>
      <c r="AB144" s="10">
        <f>Z144*AA144/2</f>
        <v>1.4422969771798009E-3</v>
      </c>
      <c r="AD144" t="s">
        <v>117</v>
      </c>
      <c r="AE144" s="3">
        <v>5.0198287174169458</v>
      </c>
      <c r="AF144" s="20">
        <f>AE144/AE$152</f>
        <v>2.7965909962371107E-2</v>
      </c>
      <c r="AG144" s="20">
        <f t="shared" si="27"/>
        <v>0.27537367121309664</v>
      </c>
      <c r="AH144" s="22">
        <f t="shared" si="25"/>
        <v>0.52278143246382214</v>
      </c>
      <c r="AI144" s="24">
        <f t="shared" si="21"/>
        <v>6.6666666666666671E-3</v>
      </c>
      <c r="AJ144">
        <f>AH144*AI144/2</f>
        <v>1.7426047748794072E-3</v>
      </c>
    </row>
    <row r="145" spans="1:36" x14ac:dyDescent="0.3">
      <c r="A145" t="s">
        <v>27</v>
      </c>
      <c r="B145" s="21">
        <v>2720362347819.8081</v>
      </c>
      <c r="C145" s="22">
        <v>2.8670868688416465E-2</v>
      </c>
      <c r="D145" s="22">
        <f t="shared" si="22"/>
        <v>0.40834590535004678</v>
      </c>
      <c r="E145" s="22">
        <f t="shared" si="23"/>
        <v>0.78802094201167705</v>
      </c>
      <c r="F145" s="24">
        <f>1/150</f>
        <v>6.6666666666666671E-3</v>
      </c>
      <c r="G145">
        <f>E145*F145/2</f>
        <v>2.6267364733722569E-3</v>
      </c>
      <c r="M145" s="27" t="s">
        <v>14</v>
      </c>
      <c r="N145" s="3">
        <v>44.636720304411128</v>
      </c>
      <c r="O145" s="20">
        <v>2.0190387596075519E-2</v>
      </c>
      <c r="P145" s="20">
        <f t="shared" si="24"/>
        <v>0.25330785822782809</v>
      </c>
      <c r="Q145" s="22">
        <f t="shared" si="26"/>
        <v>0.48642532885958067</v>
      </c>
      <c r="R145" s="24">
        <f>1/150</f>
        <v>6.6666666666666671E-3</v>
      </c>
      <c r="S145">
        <f>Q145*R145/2</f>
        <v>1.621417762865269E-3</v>
      </c>
      <c r="V145" t="s">
        <v>59</v>
      </c>
      <c r="W145" s="3">
        <v>40.833498008299948</v>
      </c>
      <c r="X145" s="20">
        <f>W145/W$152</f>
        <v>2.0102224345355114E-2</v>
      </c>
      <c r="Y145" s="20">
        <f t="shared" si="28"/>
        <v>0.2459671471645867</v>
      </c>
      <c r="Z145" s="22">
        <f t="shared" si="29"/>
        <v>0.47183206998381833</v>
      </c>
      <c r="AA145" s="24">
        <f t="shared" si="20"/>
        <v>6.6666666666666671E-3</v>
      </c>
      <c r="AB145" s="10">
        <f>Z145*AA145/2</f>
        <v>1.5727735666127278E-3</v>
      </c>
      <c r="AD145" t="s">
        <v>14</v>
      </c>
      <c r="AE145" s="3">
        <v>5.9593821503897164</v>
      </c>
      <c r="AF145" s="20">
        <f>AE145/AE$152</f>
        <v>3.3200245273491795E-2</v>
      </c>
      <c r="AG145" s="20">
        <f t="shared" si="27"/>
        <v>0.30857391648658844</v>
      </c>
      <c r="AH145" s="22">
        <f t="shared" si="25"/>
        <v>0.58394758769968513</v>
      </c>
      <c r="AI145" s="24">
        <f t="shared" si="21"/>
        <v>6.6666666666666671E-3</v>
      </c>
      <c r="AJ145">
        <f>AH145*AI145/2</f>
        <v>1.9464919589989506E-3</v>
      </c>
    </row>
    <row r="146" spans="1:36" x14ac:dyDescent="0.3">
      <c r="A146" t="s">
        <v>24</v>
      </c>
      <c r="B146" s="21">
        <v>3320141995547.6167</v>
      </c>
      <c r="C146" s="22">
        <v>3.4992160238334555E-2</v>
      </c>
      <c r="D146" s="22">
        <f t="shared" si="22"/>
        <v>0.44333806558838135</v>
      </c>
      <c r="E146" s="22">
        <f t="shared" si="23"/>
        <v>0.85168397093842807</v>
      </c>
      <c r="F146" s="24">
        <f>1/150</f>
        <v>6.6666666666666671E-3</v>
      </c>
      <c r="G146">
        <f>E146*F146/2</f>
        <v>2.8389465697947606E-3</v>
      </c>
      <c r="M146" s="27" t="s">
        <v>36</v>
      </c>
      <c r="N146" s="3">
        <v>51.65845241120104</v>
      </c>
      <c r="O146" s="20">
        <v>2.3366505641152547E-2</v>
      </c>
      <c r="P146" s="20">
        <f t="shared" si="24"/>
        <v>0.27667436386898064</v>
      </c>
      <c r="Q146" s="22">
        <f t="shared" si="26"/>
        <v>0.52998222209680868</v>
      </c>
      <c r="R146" s="24">
        <f>1/150</f>
        <v>6.6666666666666671E-3</v>
      </c>
      <c r="S146">
        <f>Q146*R146/2</f>
        <v>1.7666074069893625E-3</v>
      </c>
      <c r="V146" t="s">
        <v>36</v>
      </c>
      <c r="W146" s="3">
        <v>47.940534361407472</v>
      </c>
      <c r="X146" s="20">
        <f>W146/W$152</f>
        <v>2.3600999766743756E-2</v>
      </c>
      <c r="Y146" s="20">
        <f t="shared" si="28"/>
        <v>0.26956814693133047</v>
      </c>
      <c r="Z146" s="22">
        <f t="shared" si="29"/>
        <v>0.51553529409591714</v>
      </c>
      <c r="AA146" s="24">
        <f t="shared" si="20"/>
        <v>6.6666666666666671E-3</v>
      </c>
      <c r="AB146" s="10">
        <f>Z146*AA146/2</f>
        <v>1.7184509803197239E-3</v>
      </c>
      <c r="AD146" t="s">
        <v>67</v>
      </c>
      <c r="AE146" s="3">
        <v>5.9965363672862777</v>
      </c>
      <c r="AF146" s="20">
        <f>AE146/AE$152</f>
        <v>3.3407234703399333E-2</v>
      </c>
      <c r="AG146" s="20">
        <f t="shared" si="27"/>
        <v>0.34198115118998779</v>
      </c>
      <c r="AH146" s="22">
        <f t="shared" si="25"/>
        <v>0.65055506767657623</v>
      </c>
      <c r="AI146" s="24">
        <f t="shared" si="21"/>
        <v>6.6666666666666671E-3</v>
      </c>
      <c r="AJ146">
        <f>AH146*AI146/2</f>
        <v>2.1685168922552542E-3</v>
      </c>
    </row>
    <row r="147" spans="1:36" x14ac:dyDescent="0.3">
      <c r="A147" t="s">
        <v>117</v>
      </c>
      <c r="B147" s="21">
        <v>3477820532826.479</v>
      </c>
      <c r="C147" s="22">
        <v>3.6653990560654277E-2</v>
      </c>
      <c r="D147" s="22">
        <f t="shared" si="22"/>
        <v>0.47999205614903562</v>
      </c>
      <c r="E147" s="22">
        <f t="shared" si="23"/>
        <v>0.92333012173741702</v>
      </c>
      <c r="F147" s="24">
        <f>1/150</f>
        <v>6.6666666666666671E-3</v>
      </c>
      <c r="G147">
        <f>E147*F147/2</f>
        <v>3.0777670724580568E-3</v>
      </c>
      <c r="M147" s="27" t="s">
        <v>34</v>
      </c>
      <c r="N147" s="3">
        <v>70.243146007355293</v>
      </c>
      <c r="O147" s="20">
        <v>3.177286176457892E-2</v>
      </c>
      <c r="P147" s="20">
        <f t="shared" si="24"/>
        <v>0.30844722563355959</v>
      </c>
      <c r="Q147" s="22">
        <f t="shared" si="26"/>
        <v>0.58512158950254023</v>
      </c>
      <c r="R147" s="24">
        <f>1/150</f>
        <v>6.6666666666666671E-3</v>
      </c>
      <c r="S147">
        <f>Q147*R147/2</f>
        <v>1.9504052983418008E-3</v>
      </c>
      <c r="V147" t="s">
        <v>34</v>
      </c>
      <c r="W147" s="3">
        <v>56.594292536239379</v>
      </c>
      <c r="X147" s="20">
        <f>W147/W$152</f>
        <v>2.7861222298390744E-2</v>
      </c>
      <c r="Y147" s="20">
        <f t="shared" si="28"/>
        <v>0.29742936922972119</v>
      </c>
      <c r="Z147" s="22">
        <f t="shared" si="29"/>
        <v>0.56699751616105165</v>
      </c>
      <c r="AA147" s="24">
        <f t="shared" si="20"/>
        <v>6.6666666666666671E-3</v>
      </c>
      <c r="AB147" s="10">
        <f>Z147*AA147/2</f>
        <v>1.8899917205368389E-3</v>
      </c>
      <c r="AD147" t="s">
        <v>29</v>
      </c>
      <c r="AE147" s="3">
        <v>7.7321874395689036</v>
      </c>
      <c r="AF147" s="20">
        <f>AE147/AE$152</f>
        <v>4.3076700405513077E-2</v>
      </c>
      <c r="AG147" s="20">
        <f t="shared" si="27"/>
        <v>0.38505785159550088</v>
      </c>
      <c r="AH147" s="22">
        <f t="shared" si="25"/>
        <v>0.72703900278548872</v>
      </c>
      <c r="AI147" s="24">
        <f t="shared" si="21"/>
        <v>6.6666666666666671E-3</v>
      </c>
      <c r="AJ147">
        <f>AH147*AI147/2</f>
        <v>2.423463342618296E-3</v>
      </c>
    </row>
    <row r="148" spans="1:36" x14ac:dyDescent="0.3">
      <c r="A148" t="s">
        <v>20</v>
      </c>
      <c r="B148" s="21">
        <v>3677048776153.856</v>
      </c>
      <c r="C148" s="22">
        <v>3.8753728048949151E-2</v>
      </c>
      <c r="D148" s="22">
        <f t="shared" si="22"/>
        <v>0.51874578419798478</v>
      </c>
      <c r="E148" s="22">
        <f t="shared" si="23"/>
        <v>0.9987378403470204</v>
      </c>
      <c r="F148" s="24">
        <f>1/150</f>
        <v>6.6666666666666671E-3</v>
      </c>
      <c r="G148">
        <f>E148*F148/2</f>
        <v>3.3291261344900683E-3</v>
      </c>
      <c r="M148" s="27" t="s">
        <v>20</v>
      </c>
      <c r="N148" s="3">
        <v>79.847003652052393</v>
      </c>
      <c r="O148" s="20">
        <v>3.6116944549818973E-2</v>
      </c>
      <c r="P148" s="20">
        <f t="shared" si="24"/>
        <v>0.34456417018337854</v>
      </c>
      <c r="Q148" s="22">
        <f t="shared" si="26"/>
        <v>0.65301139581693812</v>
      </c>
      <c r="R148" s="24">
        <f>1/150</f>
        <v>6.6666666666666671E-3</v>
      </c>
      <c r="S148">
        <f>Q148*R148/2</f>
        <v>2.1767046527231271E-3</v>
      </c>
      <c r="V148" t="s">
        <v>20</v>
      </c>
      <c r="W148" s="3">
        <v>71.436897249554619</v>
      </c>
      <c r="X148" s="20">
        <f>W148/W$152</f>
        <v>3.5168197805506021E-2</v>
      </c>
      <c r="Y148" s="20">
        <f t="shared" si="28"/>
        <v>0.33259756703522719</v>
      </c>
      <c r="Z148" s="22">
        <f t="shared" si="29"/>
        <v>0.63002693626494843</v>
      </c>
      <c r="AA148" s="24">
        <f t="shared" si="20"/>
        <v>6.6666666666666671E-3</v>
      </c>
      <c r="AB148" s="10">
        <f>Z148*AA148/2</f>
        <v>2.1000897875498282E-3</v>
      </c>
      <c r="AD148" t="s">
        <v>20</v>
      </c>
      <c r="AE148" s="3">
        <v>8.4101064024977745</v>
      </c>
      <c r="AF148" s="20">
        <f>AE148/AE$152</f>
        <v>4.6853446933392294E-2</v>
      </c>
      <c r="AG148" s="20">
        <f t="shared" si="27"/>
        <v>0.43191129852889315</v>
      </c>
      <c r="AH148" s="22">
        <f t="shared" si="25"/>
        <v>0.81696915012439408</v>
      </c>
      <c r="AI148" s="24">
        <f t="shared" si="21"/>
        <v>6.6666666666666671E-3</v>
      </c>
      <c r="AJ148">
        <f>AH148*AI148/2</f>
        <v>2.7232305004146473E-3</v>
      </c>
    </row>
    <row r="149" spans="1:36" x14ac:dyDescent="0.3">
      <c r="A149" t="s">
        <v>34</v>
      </c>
      <c r="B149" s="21">
        <v>4606002855955.1328</v>
      </c>
      <c r="C149" s="22">
        <v>4.8544306300738478E-2</v>
      </c>
      <c r="D149" s="22">
        <f t="shared" si="22"/>
        <v>0.56729009049872325</v>
      </c>
      <c r="E149" s="22">
        <f t="shared" si="23"/>
        <v>1.086035874696708</v>
      </c>
      <c r="F149" s="24">
        <f>1/150</f>
        <v>6.6666666666666671E-3</v>
      </c>
      <c r="G149">
        <f>E149*F149/2</f>
        <v>3.6201195823223602E-3</v>
      </c>
      <c r="M149" s="27" t="s">
        <v>117</v>
      </c>
      <c r="N149" s="3">
        <v>217.82927040571496</v>
      </c>
      <c r="O149" s="20">
        <v>9.8530030191915766E-2</v>
      </c>
      <c r="P149" s="20">
        <f t="shared" si="24"/>
        <v>0.44309420037529429</v>
      </c>
      <c r="Q149" s="22">
        <f t="shared" si="26"/>
        <v>0.78765837055867283</v>
      </c>
      <c r="R149" s="24">
        <f>1/150</f>
        <v>6.6666666666666671E-3</v>
      </c>
      <c r="S149">
        <f>Q149*R149/2</f>
        <v>2.6255279018622428E-3</v>
      </c>
      <c r="V149" t="s">
        <v>117</v>
      </c>
      <c r="W149" s="3">
        <v>212.80944168829802</v>
      </c>
      <c r="X149" s="20">
        <f>W149/W$152</f>
        <v>0.10476553193552965</v>
      </c>
      <c r="Y149" s="20">
        <f t="shared" si="28"/>
        <v>0.43736309897075687</v>
      </c>
      <c r="Z149" s="22">
        <f t="shared" si="29"/>
        <v>0.76996066600598412</v>
      </c>
      <c r="AA149" s="24">
        <f t="shared" si="20"/>
        <v>6.6666666666666671E-3</v>
      </c>
      <c r="AB149" s="10">
        <f>Z149*AA149/2</f>
        <v>2.5665355533532807E-3</v>
      </c>
      <c r="AD149" t="s">
        <v>34</v>
      </c>
      <c r="AE149" s="3">
        <v>13.648853471115919</v>
      </c>
      <c r="AF149" s="20">
        <f>AE149/AE$152</f>
        <v>7.6038970401212602E-2</v>
      </c>
      <c r="AG149" s="20">
        <f t="shared" si="27"/>
        <v>0.50795026893010575</v>
      </c>
      <c r="AH149" s="22">
        <f t="shared" si="25"/>
        <v>0.93986156745899896</v>
      </c>
      <c r="AI149" s="24">
        <f t="shared" si="21"/>
        <v>6.6666666666666671E-3</v>
      </c>
      <c r="AJ149">
        <f>AH149*AI149/2</f>
        <v>3.1328718915299967E-3</v>
      </c>
    </row>
    <row r="150" spans="1:36" x14ac:dyDescent="0.3">
      <c r="A150" t="s">
        <v>61</v>
      </c>
      <c r="B150" s="21">
        <v>18488114837769.328</v>
      </c>
      <c r="C150" s="22">
        <v>0.1948528339376793</v>
      </c>
      <c r="D150" s="22">
        <f t="shared" si="22"/>
        <v>0.76214292443640252</v>
      </c>
      <c r="E150" s="22">
        <f t="shared" si="23"/>
        <v>1.3294330149351259</v>
      </c>
      <c r="F150" s="24">
        <f>1/150</f>
        <v>6.6666666666666671E-3</v>
      </c>
      <c r="G150">
        <f>E150*F150/2</f>
        <v>4.4314433831170869E-3</v>
      </c>
      <c r="M150" s="27" t="s">
        <v>12</v>
      </c>
      <c r="N150" s="3">
        <v>361.83819367672078</v>
      </c>
      <c r="O150" s="20">
        <v>0.16366913446091311</v>
      </c>
      <c r="P150" s="20">
        <f t="shared" si="24"/>
        <v>0.60676333483620737</v>
      </c>
      <c r="Q150" s="22">
        <f t="shared" si="26"/>
        <v>1.0498575352115016</v>
      </c>
      <c r="R150" s="24">
        <f>1/150</f>
        <v>6.6666666666666671E-3</v>
      </c>
      <c r="S150">
        <f>Q150*R150/2</f>
        <v>3.4995251173716721E-3</v>
      </c>
      <c r="V150" t="s">
        <v>12</v>
      </c>
      <c r="W150" s="3">
        <v>337.63486118585604</v>
      </c>
      <c r="X150" s="20">
        <f>W150/W$152</f>
        <v>0.16621675970526256</v>
      </c>
      <c r="Y150" s="20">
        <f t="shared" si="28"/>
        <v>0.60357985867601949</v>
      </c>
      <c r="Z150" s="22">
        <f t="shared" si="29"/>
        <v>1.0409429576467764</v>
      </c>
      <c r="AA150" s="24">
        <f t="shared" si="20"/>
        <v>6.6666666666666671E-3</v>
      </c>
      <c r="AB150" s="10">
        <f>Z150*AA150/2</f>
        <v>3.469809858822588E-3</v>
      </c>
      <c r="AD150" t="s">
        <v>12</v>
      </c>
      <c r="AE150" s="3">
        <v>24.203332490864735</v>
      </c>
      <c r="AF150" s="20">
        <f>AE150/AE$152</f>
        <v>0.13483890692930867</v>
      </c>
      <c r="AG150" s="20">
        <f t="shared" si="27"/>
        <v>0.64278917585941442</v>
      </c>
      <c r="AH150" s="22">
        <f t="shared" si="25"/>
        <v>1.1507394447895201</v>
      </c>
      <c r="AI150" s="24">
        <f t="shared" si="21"/>
        <v>6.6666666666666671E-3</v>
      </c>
      <c r="AJ150">
        <f>AH150*AI150/2</f>
        <v>3.8357981492984005E-3</v>
      </c>
    </row>
    <row r="151" spans="1:36" x14ac:dyDescent="0.3">
      <c r="A151" t="s">
        <v>12</v>
      </c>
      <c r="B151" s="21">
        <v>22568462768174.316</v>
      </c>
      <c r="C151" s="22">
        <v>0.23785707556359756</v>
      </c>
      <c r="D151" s="22">
        <f t="shared" si="22"/>
        <v>1</v>
      </c>
      <c r="E151" s="22">
        <f t="shared" si="23"/>
        <v>1.7621429244364024</v>
      </c>
      <c r="F151" s="24">
        <f>1/150</f>
        <v>6.6666666666666671E-3</v>
      </c>
      <c r="G151">
        <f>E151*F151/2</f>
        <v>5.8738097481213416E-3</v>
      </c>
      <c r="M151" s="27" t="s">
        <v>61</v>
      </c>
      <c r="N151" s="3">
        <v>869.36394622594594</v>
      </c>
      <c r="O151" s="20">
        <v>0.39323666516379313</v>
      </c>
      <c r="P151" s="20">
        <f t="shared" si="24"/>
        <v>1.0000000000000004</v>
      </c>
      <c r="Q151" s="22">
        <f t="shared" si="26"/>
        <v>1.6067633348362078</v>
      </c>
      <c r="R151" s="24">
        <f>1/150</f>
        <v>6.6666666666666671E-3</v>
      </c>
      <c r="S151">
        <f>Q151*R151/2</f>
        <v>5.3558777827873594E-3</v>
      </c>
      <c r="V151" t="s">
        <v>61</v>
      </c>
      <c r="W151" s="3">
        <v>805.24526903626031</v>
      </c>
      <c r="X151" s="20">
        <f>W151/W$152</f>
        <v>0.39642014132398051</v>
      </c>
      <c r="Y151" s="20">
        <f t="shared" si="28"/>
        <v>1</v>
      </c>
      <c r="Z151" s="22">
        <f t="shared" si="29"/>
        <v>1.6035798586760195</v>
      </c>
      <c r="AA151" s="24">
        <f t="shared" si="20"/>
        <v>6.6666666666666671E-3</v>
      </c>
      <c r="AB151" s="10">
        <f>Z151*AA151/2</f>
        <v>5.3452661955867321E-3</v>
      </c>
      <c r="AD151" t="s">
        <v>61</v>
      </c>
      <c r="AE151" s="3">
        <v>64.118677189685599</v>
      </c>
      <c r="AF151" s="20">
        <f>AE151/AE$152</f>
        <v>0.35721082414058553</v>
      </c>
      <c r="AG151" s="20">
        <f t="shared" si="27"/>
        <v>1</v>
      </c>
      <c r="AH151" s="22">
        <f t="shared" si="25"/>
        <v>1.6427891758594144</v>
      </c>
      <c r="AI151" s="24">
        <f t="shared" si="21"/>
        <v>6.6666666666666671E-3</v>
      </c>
      <c r="AJ151">
        <f>AH151*AI151/2</f>
        <v>5.475963919531382E-3</v>
      </c>
    </row>
    <row r="152" spans="1:36" x14ac:dyDescent="0.3">
      <c r="B152" s="21"/>
      <c r="C152" s="22"/>
      <c r="D152" s="22"/>
      <c r="E152" s="22"/>
      <c r="F152" s="24"/>
      <c r="N152" s="3"/>
      <c r="O152" s="20"/>
      <c r="P152" s="20"/>
      <c r="Q152" s="22"/>
      <c r="R152" s="24"/>
      <c r="W152" s="3">
        <f>SUM(W2:W151)</f>
        <v>2031.292522995599</v>
      </c>
      <c r="X152" s="20"/>
      <c r="Y152" s="20"/>
      <c r="Z152" s="22"/>
      <c r="AA152" s="24"/>
      <c r="AE152" s="3">
        <f>SUM(AE2:AE151)</f>
        <v>179.49813627274284</v>
      </c>
      <c r="AF152" s="20"/>
      <c r="AG152" s="20"/>
      <c r="AH152" s="22"/>
      <c r="AI152" s="24"/>
    </row>
    <row r="153" spans="1:36" x14ac:dyDescent="0.3">
      <c r="B153" s="21"/>
      <c r="C153" s="22"/>
      <c r="D153" s="22"/>
      <c r="E153" s="22"/>
      <c r="F153" s="24"/>
      <c r="N153" s="3"/>
      <c r="O153" s="20"/>
      <c r="P153" s="20"/>
      <c r="Q153" s="22"/>
      <c r="R153" s="24"/>
      <c r="W153" s="3"/>
      <c r="X153" s="20"/>
      <c r="Y153" s="20"/>
      <c r="Z153" s="22"/>
      <c r="AA153" s="24"/>
      <c r="AE153" s="3"/>
      <c r="AF153" s="20"/>
      <c r="AG153" s="20"/>
      <c r="AH153" s="22"/>
      <c r="AI153" s="24"/>
    </row>
    <row r="154" spans="1:36" x14ac:dyDescent="0.3">
      <c r="B154" s="21"/>
      <c r="C154" s="22"/>
      <c r="D154" s="22"/>
      <c r="E154" s="22"/>
      <c r="F154" s="24"/>
      <c r="N154" s="3"/>
      <c r="O154" s="20"/>
      <c r="P154" s="20"/>
      <c r="Q154" s="22"/>
      <c r="R154" s="24"/>
      <c r="W154" s="3"/>
      <c r="X154" s="20"/>
      <c r="Y154" s="20"/>
      <c r="Z154" s="22"/>
      <c r="AA154" s="24"/>
      <c r="AE154" s="3"/>
      <c r="AF154" s="20"/>
      <c r="AG154" s="20"/>
      <c r="AH154" s="22"/>
      <c r="AI154" s="24"/>
    </row>
    <row r="156" spans="1:36" x14ac:dyDescent="0.3">
      <c r="F156" s="10">
        <f>SUM(F2:F155)</f>
        <v>1.0000000000000024</v>
      </c>
    </row>
    <row r="157" spans="1:36" x14ac:dyDescent="0.3">
      <c r="B157"/>
      <c r="C157" s="10" t="s">
        <v>489</v>
      </c>
      <c r="D157" s="10" t="s">
        <v>490</v>
      </c>
      <c r="E157" t="s">
        <v>491</v>
      </c>
      <c r="O157" s="10" t="s">
        <v>489</v>
      </c>
      <c r="P157" s="10" t="s">
        <v>490</v>
      </c>
      <c r="Q157" t="s">
        <v>491</v>
      </c>
      <c r="X157" s="10" t="s">
        <v>489</v>
      </c>
      <c r="Y157" s="10" t="s">
        <v>490</v>
      </c>
      <c r="Z157" t="s">
        <v>491</v>
      </c>
      <c r="AF157" s="10" t="s">
        <v>489</v>
      </c>
      <c r="AG157" s="10" t="s">
        <v>490</v>
      </c>
      <c r="AH157" t="s">
        <v>491</v>
      </c>
    </row>
    <row r="158" spans="1:36" x14ac:dyDescent="0.3">
      <c r="B158"/>
      <c r="C158" s="10">
        <f>SUM(G2:G151)</f>
        <v>7.8172030537524473E-2</v>
      </c>
      <c r="D158" s="10">
        <v>0.5</v>
      </c>
      <c r="E158">
        <f>D158-C158</f>
        <v>0.42182796946247553</v>
      </c>
      <c r="O158" s="10">
        <f>SUM(S2:S155)</f>
        <v>3.8660583119771129E-2</v>
      </c>
      <c r="P158" s="10">
        <v>0.5</v>
      </c>
      <c r="Q158">
        <f>P158-O158</f>
        <v>0.46133941688022889</v>
      </c>
      <c r="X158" s="10">
        <f>SUM(AB2:AB155)</f>
        <v>3.6518815934255766E-2</v>
      </c>
      <c r="Y158" s="10">
        <v>0.5</v>
      </c>
      <c r="Z158">
        <f>Y158-X158</f>
        <v>0.46348118406574423</v>
      </c>
      <c r="AF158" s="10">
        <f>SUM(AJ2:AJ155)</f>
        <v>4.8125918849364145E-2</v>
      </c>
      <c r="AG158" s="10">
        <v>0.5</v>
      </c>
      <c r="AH158">
        <f>AG158-AF158</f>
        <v>0.45187408115063588</v>
      </c>
    </row>
    <row r="159" spans="1:36" x14ac:dyDescent="0.3">
      <c r="B159"/>
      <c r="C159"/>
      <c r="E159"/>
    </row>
    <row r="160" spans="1:36" x14ac:dyDescent="0.3">
      <c r="B160"/>
      <c r="C160" s="25" t="s">
        <v>492</v>
      </c>
      <c r="D160" s="25"/>
      <c r="E160" s="25"/>
      <c r="O160" s="25" t="s">
        <v>492</v>
      </c>
      <c r="P160" s="25"/>
      <c r="Q160" s="25"/>
      <c r="X160" s="25" t="s">
        <v>492</v>
      </c>
      <c r="Y160" s="25"/>
      <c r="Z160" s="25"/>
      <c r="AF160" s="25" t="s">
        <v>492</v>
      </c>
      <c r="AG160" s="25"/>
      <c r="AH160" s="25"/>
    </row>
    <row r="161" spans="2:34" ht="17.5" x14ac:dyDescent="0.35">
      <c r="B161"/>
      <c r="C161" s="26">
        <f>E158/D158</f>
        <v>0.84365593892495105</v>
      </c>
      <c r="D161" s="26"/>
      <c r="E161" s="26"/>
      <c r="O161" s="26">
        <f>Q158/P158</f>
        <v>0.92267883376045778</v>
      </c>
      <c r="P161" s="26"/>
      <c r="Q161" s="26"/>
      <c r="X161" s="26">
        <f>Z158/Y158</f>
        <v>0.92696236813148847</v>
      </c>
      <c r="Y161" s="26"/>
      <c r="Z161" s="26"/>
      <c r="AF161" s="26">
        <f>AH158/AG158</f>
        <v>0.90374816230127175</v>
      </c>
      <c r="AG161" s="26"/>
      <c r="AH161" s="26"/>
    </row>
    <row r="162" spans="2:34" x14ac:dyDescent="0.3">
      <c r="B162"/>
      <c r="C162"/>
      <c r="E162"/>
    </row>
  </sheetData>
  <sortState xmlns:xlrd2="http://schemas.microsoft.com/office/spreadsheetml/2017/richdata2" ref="AD2:AJ151">
    <sortCondition ref="AE2:AE151"/>
  </sortState>
  <mergeCells count="8">
    <mergeCell ref="C160:E160"/>
    <mergeCell ref="O160:Q160"/>
    <mergeCell ref="X160:Z160"/>
    <mergeCell ref="AF160:AH160"/>
    <mergeCell ref="C161:E161"/>
    <mergeCell ref="O161:Q161"/>
    <mergeCell ref="X161:Z161"/>
    <mergeCell ref="AF161:AH16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2024GDP</vt:lpstr>
      <vt:lpstr>GDP数据</vt:lpstr>
      <vt:lpstr>洛伦兹曲线</vt:lpstr>
      <vt:lpstr>基尼系数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RAN</cp:lastModifiedBy>
  <dcterms:created xsi:type="dcterms:W3CDTF">2015-06-05T18:19:34Z</dcterms:created>
  <dcterms:modified xsi:type="dcterms:W3CDTF">2026-05-27T12:41:46Z</dcterms:modified>
</cp:coreProperties>
</file>